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ssumptions" sheetId="2" r:id="rId5"/>
    <sheet state="visible" name="Class Schedule" sheetId="3" r:id="rId6"/>
    <sheet state="visible" name="Summer Camps" sheetId="4" r:id="rId7"/>
    <sheet state="visible" name="Startup Supplies" sheetId="5" r:id="rId8"/>
    <sheet state="visible" name="Revenue Model" sheetId="6" r:id="rId9"/>
    <sheet state="visible" name="Expenses" sheetId="7" r:id="rId10"/>
    <sheet state="visible" name="Startup Costs" sheetId="8" r:id="rId11"/>
    <sheet state="visible" name="Loan Amortization" sheetId="9" r:id="rId12"/>
    <sheet state="visible" name="Profit &amp; Loss" sheetId="10" r:id="rId13"/>
    <sheet state="visible" name="Cash Flow" sheetId="11" r:id="rId14"/>
    <sheet state="visible" name="Dashboard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9">
      <text>
        <t xml:space="preserve">Property tax included in NNN charges</t>
      </text>
    </comment>
  </commentList>
</comments>
</file>

<file path=xl/sharedStrings.xml><?xml version="1.0" encoding="utf-8"?>
<sst xmlns="http://schemas.openxmlformats.org/spreadsheetml/2006/main" count="402" uniqueCount="318">
  <si>
    <t>DECO CREATIVE CENTER - FINANCIAL ASSUMPTIONS</t>
  </si>
  <si>
    <t>EDITABLE INPUTS</t>
  </si>
  <si>
    <t>All values can be edited</t>
  </si>
  <si>
    <t>FACILITY INFORMATION (RENTAL)</t>
  </si>
  <si>
    <t>Blue cells = formulas (auto-calculate)</t>
  </si>
  <si>
    <t>Square Footage</t>
  </si>
  <si>
    <t>White cells = your inputs</t>
  </si>
  <si>
    <t>Base Rent ($/sf/year)</t>
  </si>
  <si>
    <t>NNN - Triple Net ($/sf/year)</t>
  </si>
  <si>
    <t>Total Annual Rent</t>
  </si>
  <si>
    <t>Monthly Rent</t>
  </si>
  <si>
    <t>TIMELINE</t>
  </si>
  <si>
    <t>Opening Date</t>
  </si>
  <si>
    <t>Year 1 Operating Months</t>
  </si>
  <si>
    <t>Class Sessions Year 1</t>
  </si>
  <si>
    <t>Class Sessions Year 2+</t>
  </si>
  <si>
    <t>FINANCING (WORKING CAPITAL LOAN)</t>
  </si>
  <si>
    <t>Startup Costs Total</t>
  </si>
  <si>
    <t>Operating Reserve (months)</t>
  </si>
  <si>
    <t>Operating Reserve Amount</t>
  </si>
  <si>
    <t>Total Loan Amount</t>
  </si>
  <si>
    <t>Loan Term (years)</t>
  </si>
  <si>
    <t>Interest Rate</t>
  </si>
  <si>
    <t>Monthly Payment</t>
  </si>
  <si>
    <t>ENROLLMENT CAPACITY</t>
  </si>
  <si>
    <t>Year 1 Capacity %</t>
  </si>
  <si>
    <t>Annual Growth %</t>
  </si>
  <si>
    <t>Drop-in Rate %</t>
  </si>
  <si>
    <t>STAFF COMPENSATION</t>
  </si>
  <si>
    <t>Owner 1 Annual Salary</t>
  </si>
  <si>
    <t>Owner 2 Annual Salary</t>
  </si>
  <si>
    <t>Studio Manager Hourly</t>
  </si>
  <si>
    <t>Studio Manager Hours/Week</t>
  </si>
  <si>
    <t>Teacher Hourly</t>
  </si>
  <si>
    <t>Assistant Hourly</t>
  </si>
  <si>
    <t>Payroll Tax Rate</t>
  </si>
  <si>
    <t>EVENTS &amp; WORKSHOPS</t>
  </si>
  <si>
    <t>Paint &amp; Sip Events/Month</t>
  </si>
  <si>
    <t>Paint &amp; Sip Price</t>
  </si>
  <si>
    <t>Paint &amp; Sip Attendance</t>
  </si>
  <si>
    <t>Private Events/Month</t>
  </si>
  <si>
    <t>Private Event Base Fee</t>
  </si>
  <si>
    <t>Private Event Per Person</t>
  </si>
  <si>
    <t>Private Event Attendance</t>
  </si>
  <si>
    <t>Workshops/Month</t>
  </si>
  <si>
    <t>Workshop Price</t>
  </si>
  <si>
    <t>Workshop Attendance</t>
  </si>
  <si>
    <t>BEVERAGE SALES</t>
  </si>
  <si>
    <t>Drinks/Person (Paint &amp; Sip)</t>
  </si>
  <si>
    <t>Drinks/Person (Private Event)</t>
  </si>
  <si>
    <t>Drinks/Person (Workshop)</t>
  </si>
  <si>
    <t>Coffee Price</t>
  </si>
  <si>
    <t>Beer Price</t>
  </si>
  <si>
    <t>Wine Price</t>
  </si>
  <si>
    <t>Beverage COGS %</t>
  </si>
  <si>
    <t>OPERATING EXPENSES</t>
  </si>
  <si>
    <t>Art Supplies COGS %</t>
  </si>
  <si>
    <t>Pottery COGS %</t>
  </si>
  <si>
    <t>Supplies Replenish % (Quarterly)</t>
  </si>
  <si>
    <t>Electricity/Month</t>
  </si>
  <si>
    <t>Gas/Month</t>
  </si>
  <si>
    <t>Water/Month</t>
  </si>
  <si>
    <t>Internet/Month</t>
  </si>
  <si>
    <t>Insurance/Month</t>
  </si>
  <si>
    <t>Property Tax/Year</t>
  </si>
  <si>
    <t>Repairs &amp; Maintenance/Year</t>
  </si>
  <si>
    <t>Marketing Year 1/Month</t>
  </si>
  <si>
    <t>Marketing Year 2+ %</t>
  </si>
  <si>
    <t>Accounting/Year</t>
  </si>
  <si>
    <t>Legal/Year</t>
  </si>
  <si>
    <t>Payroll Service/Year</t>
  </si>
  <si>
    <t>Liquor License/Year</t>
  </si>
  <si>
    <t>DEPRECIATION</t>
  </si>
  <si>
    <t>Leasehold Improvements (15 years)</t>
  </si>
  <si>
    <t>Equipment (7 years)</t>
  </si>
  <si>
    <t>Total Annual Depreciation</t>
  </si>
  <si>
    <t>REGULAR CLASS SCHEDULE - Per-Year Enrollment Tracking</t>
  </si>
  <si>
    <t>Category</t>
  </si>
  <si>
    <t>Duration (hrs)</t>
  </si>
  <si>
    <t>Price</t>
  </si>
  <si>
    <t>Max Students</t>
  </si>
  <si>
    <t>Sessions/Yr</t>
  </si>
  <si>
    <t>Yr1 Enrolled</t>
  </si>
  <si>
    <t>Yr1 %</t>
  </si>
  <si>
    <t>Yr2 Enrolled</t>
  </si>
  <si>
    <t>Yr2 %</t>
  </si>
  <si>
    <t>Yr3 Enrolled</t>
  </si>
  <si>
    <t>Yr3 %</t>
  </si>
  <si>
    <t>Yr4 Enrolled</t>
  </si>
  <si>
    <t>Yr4 %</t>
  </si>
  <si>
    <t>Yr5 Enrolled</t>
  </si>
  <si>
    <t>Yr5 %</t>
  </si>
  <si>
    <t>Notes</t>
  </si>
  <si>
    <t>Adults - Painting</t>
  </si>
  <si>
    <t>2hr session</t>
  </si>
  <si>
    <t>Adults - Pottery</t>
  </si>
  <si>
    <t>2.5hr session</t>
  </si>
  <si>
    <t>Teens 13-18 - Drawing</t>
  </si>
  <si>
    <t>Teens 13-18 - Pottery</t>
  </si>
  <si>
    <t>Kids 9-12 - Mixed Media</t>
  </si>
  <si>
    <t>1.5hr session</t>
  </si>
  <si>
    <t>Kids 9-12 - Pottery</t>
  </si>
  <si>
    <t>Kids 6-8 - General Art</t>
  </si>
  <si>
    <t>1hr session</t>
  </si>
  <si>
    <t>Kids 4-5 - General Art</t>
  </si>
  <si>
    <t>Homeschool 6-12</t>
  </si>
  <si>
    <t>Homeschool Teens</t>
  </si>
  <si>
    <t>Adults - Ceramics (Non-Wheel)</t>
  </si>
  <si>
    <t>Teens 13-18 - Ceramics (Non-Wheel)</t>
  </si>
  <si>
    <t>Kids 9-12 - Ceramics (Non-Wheel)</t>
  </si>
  <si>
    <t>INSTRUCTIONS:</t>
  </si>
  <si>
    <t>• Edit "Enrolled" columns (light green) to set student numbers per year</t>
  </si>
  <si>
    <t>• Percentages auto-calculate: Enrolled / Max Students</t>
  </si>
  <si>
    <t>• Max Students stays constant; enrollment can grow each year</t>
  </si>
  <si>
    <t>• Year 1 = 6 sessions (Mar-Apr, Sep-Dec); Year 2+ = 12 sessions</t>
  </si>
  <si>
    <t>• Add rows if you need more class types</t>
  </si>
  <si>
    <t>SUMMER CAMP SCHEDULE - Per-Year Enrollment Tracking</t>
  </si>
  <si>
    <t>Age Group</t>
  </si>
  <si>
    <t>Duration</t>
  </si>
  <si>
    <t>Days</t>
  </si>
  <si>
    <t>Type</t>
  </si>
  <si>
    <t>Weeks</t>
  </si>
  <si>
    <t>Half Day AM</t>
  </si>
  <si>
    <t>General</t>
  </si>
  <si>
    <t>Half Day</t>
  </si>
  <si>
    <t>Ceramics</t>
  </si>
  <si>
    <t>Full Day</t>
  </si>
  <si>
    <t>All Ages</t>
  </si>
  <si>
    <t>Extended Care</t>
  </si>
  <si>
    <t>Add-on</t>
  </si>
  <si>
    <t>• Edit "Enrolled" columns (light orange) to set student numbers per year</t>
  </si>
  <si>
    <t>• Add rows if you need more camp types</t>
  </si>
  <si>
    <t>STARTUP ART SUPPLIES</t>
  </si>
  <si>
    <t>Item</t>
  </si>
  <si>
    <t>Quantity</t>
  </si>
  <si>
    <t>Unit Price</t>
  </si>
  <si>
    <t>Total</t>
  </si>
  <si>
    <t>CANVAS</t>
  </si>
  <si>
    <t>Canvas 8x10</t>
  </si>
  <si>
    <t>Canvas 11x14</t>
  </si>
  <si>
    <t>Canvas 16x20</t>
  </si>
  <si>
    <t>Canvas 18x24</t>
  </si>
  <si>
    <t>CANVAS SUBTOTAL</t>
  </si>
  <si>
    <t>PAPER</t>
  </si>
  <si>
    <t>Drawing Paper 9x12 (500 sheets)</t>
  </si>
  <si>
    <t>Watercolor Paper 9x12 (100)</t>
  </si>
  <si>
    <t>Mixed Media Paper 11x14 (100)</t>
  </si>
  <si>
    <t>Cardstock Variety Pack</t>
  </si>
  <si>
    <t>PAPER SUBTOTAL</t>
  </si>
  <si>
    <t>PAINT</t>
  </si>
  <si>
    <t>Acrylic Paint Set (24 colors)</t>
  </si>
  <si>
    <t>Tempera Paint Gallon (assorted)</t>
  </si>
  <si>
    <t>Watercolor Sets (24 pan)</t>
  </si>
  <si>
    <t>Oil Paint Set (12 tubes)</t>
  </si>
  <si>
    <t>PAINT SUBTOTAL</t>
  </si>
  <si>
    <t>BRUSHES</t>
  </si>
  <si>
    <t>Brush Sets (variety 10pc)</t>
  </si>
  <si>
    <t>Detail Brush Sets</t>
  </si>
  <si>
    <t>Foam Brushes (100 pack)</t>
  </si>
  <si>
    <t>BRUSH SUBTOTAL</t>
  </si>
  <si>
    <t>DRAWING SUPPLIES</t>
  </si>
  <si>
    <t>Pencil Sets (12pc graphite)</t>
  </si>
  <si>
    <t>Colored Pencil Sets (24)</t>
  </si>
  <si>
    <t>Charcoal Sets</t>
  </si>
  <si>
    <t>Pastels (oil &amp; soft)</t>
  </si>
  <si>
    <t>Erasers (variety)</t>
  </si>
  <si>
    <t>DRAWING SUBTOTAL</t>
  </si>
  <si>
    <t>MARKERS &amp; INK</t>
  </si>
  <si>
    <t>Marker Sets (washable, 24)</t>
  </si>
  <si>
    <t>Fine Point Markers (12)</t>
  </si>
  <si>
    <t>India Ink (bottles)</t>
  </si>
  <si>
    <t>MARKER SUBTOTAL</t>
  </si>
  <si>
    <t>CLAY &amp; POTTERY</t>
  </si>
  <si>
    <t>Clay (25lb bags)</t>
  </si>
  <si>
    <t>Glazes (assorted pints)</t>
  </si>
  <si>
    <t>Pottery Tools Sets</t>
  </si>
  <si>
    <t>Underglazes (set)</t>
  </si>
  <si>
    <t>Wire &amp; Cutting Tools</t>
  </si>
  <si>
    <t>CLAY SUBTOTAL</t>
  </si>
  <si>
    <t>MISCELLANEOUS</t>
  </si>
  <si>
    <t>Glue (bottles &amp; sticks)</t>
  </si>
  <si>
    <t>Scissors (classroom)</t>
  </si>
  <si>
    <t>Rulers &amp; Templates</t>
  </si>
  <si>
    <t>Aprons (child/adult)</t>
  </si>
  <si>
    <t>Storage Containers</t>
  </si>
  <si>
    <t>Palettes (disposable 100pk)</t>
  </si>
  <si>
    <t>Paper Towels (cases)</t>
  </si>
  <si>
    <t>MISC SUBTOTAL</t>
  </si>
  <si>
    <t>GRAND TOTAL</t>
  </si>
  <si>
    <t>NOTES:</t>
  </si>
  <si>
    <t>• Add/edit items as needed</t>
  </si>
  <si>
    <t>• Subtotals auto-calculate</t>
  </si>
  <si>
    <t>• Grand Total feeds Startup Costs</t>
  </si>
  <si>
    <t>• Quarterly replenishment = 30% of this total</t>
  </si>
  <si>
    <t>DECO ART CENTER - REVENUE PROJECTIONS</t>
  </si>
  <si>
    <t>Revenue Source</t>
  </si>
  <si>
    <t>Year 1 (10mo)</t>
  </si>
  <si>
    <t>Year 2</t>
  </si>
  <si>
    <t>Year 3</t>
  </si>
  <si>
    <t>Year 4</t>
  </si>
  <si>
    <t>Year 5</t>
  </si>
  <si>
    <t>REGULAR CLASSES</t>
  </si>
  <si>
    <t>Classes Revenue</t>
  </si>
  <si>
    <t xml:space="preserve">  - Pottery Classes Only</t>
  </si>
  <si>
    <t>Drop-in Classes</t>
  </si>
  <si>
    <t>SUMMER CAMPS</t>
  </si>
  <si>
    <t>Summer Camps Revenue</t>
  </si>
  <si>
    <t xml:space="preserve">  - Ceramics Camps Only</t>
  </si>
  <si>
    <t>Paint &amp; Sip Events</t>
  </si>
  <si>
    <t>Private Events</t>
  </si>
  <si>
    <t>Visiting Artist Workshops</t>
  </si>
  <si>
    <t>Paint &amp; Sip Beverages</t>
  </si>
  <si>
    <t>Private Event Beverages</t>
  </si>
  <si>
    <t>Workshop Beverages</t>
  </si>
  <si>
    <t>RETAIL</t>
  </si>
  <si>
    <t>Retail Sales (5% of program revenue)</t>
  </si>
  <si>
    <t>TOTAL GROSS REVENUE</t>
  </si>
  <si>
    <t>DECO ART CENTER - OPERATING EXPENSES</t>
  </si>
  <si>
    <t>Expense Category</t>
  </si>
  <si>
    <t>COST OF GOODS SOLD</t>
  </si>
  <si>
    <t>Art Supplies (15% of non-pottery program revenue)</t>
  </si>
  <si>
    <t>Pottery Supplies (12% of pottery classes/camps)</t>
  </si>
  <si>
    <t>Beverage COGS</t>
  </si>
  <si>
    <t>Supplies Replenishment (Quarterly)</t>
  </si>
  <si>
    <t>PAYROLL &amp; LABOR</t>
  </si>
  <si>
    <t>Owner Salaries</t>
  </si>
  <si>
    <t>Studio Manager</t>
  </si>
  <si>
    <t>Teachers (calculated from enrollment)</t>
  </si>
  <si>
    <t>Assistants (for classes &gt;10 students)</t>
  </si>
  <si>
    <t>Payroll Taxes</t>
  </si>
  <si>
    <t>FACILITIES &amp; OCCUPANCY</t>
  </si>
  <si>
    <t>Rent (Base + NNN)</t>
  </si>
  <si>
    <t>Loan Payment (Principal + Interest)</t>
  </si>
  <si>
    <t>Insurance</t>
  </si>
  <si>
    <t>Utilities (Elec+Gas+Water+Internet)</t>
  </si>
  <si>
    <t>Repairs &amp; Maintenance</t>
  </si>
  <si>
    <t>OPERATIONS</t>
  </si>
  <si>
    <t>Marketing &amp; Advertising</t>
  </si>
  <si>
    <t>Professional Services</t>
  </si>
  <si>
    <t>Liquor License</t>
  </si>
  <si>
    <t>Miscellaneous</t>
  </si>
  <si>
    <t>TOTAL OPERATING EXPENSES</t>
  </si>
  <si>
    <t>STARTUP COSTS &amp; INITIAL INVESTMENT</t>
  </si>
  <si>
    <t>Amount</t>
  </si>
  <si>
    <t>MOVE-IN COSTS (LEASE)</t>
  </si>
  <si>
    <t>First Month Rent</t>
  </si>
  <si>
    <t>Last Month Rent</t>
  </si>
  <si>
    <t>Security Deposit</t>
  </si>
  <si>
    <t>EQUIPMENT &amp; FURNISHINGS</t>
  </si>
  <si>
    <t>Kiln</t>
  </si>
  <si>
    <t>Pottery Wheels (6)</t>
  </si>
  <si>
    <t>Classroom Furniture</t>
  </si>
  <si>
    <t>Lobby Furniture</t>
  </si>
  <si>
    <t>INITIAL SUPPLIES</t>
  </si>
  <si>
    <t>Art Supplies (from Startup Supplies sheet)</t>
  </si>
  <si>
    <t>SETUP &amp; PROFESSIONAL</t>
  </si>
  <si>
    <t>Leasehold Improvements</t>
  </si>
  <si>
    <t>Signage &amp; Branding</t>
  </si>
  <si>
    <t>Initial Marketing</t>
  </si>
  <si>
    <t>Legal &amp; Permits</t>
  </si>
  <si>
    <t>POS System &amp; Software</t>
  </si>
  <si>
    <t>WORKING CAPITAL</t>
  </si>
  <si>
    <t>Operating Reserve</t>
  </si>
  <si>
    <t>TOTAL STARTUP COSTS (excl. reserve)</t>
  </si>
  <si>
    <t>TOTAL LOAN NEEDED (with reserve)</t>
  </si>
  <si>
    <t>WORKING CAPITAL LOAN AMORTIZATION</t>
  </si>
  <si>
    <t>Loan Amount:</t>
  </si>
  <si>
    <t>Interest Rate:</t>
  </si>
  <si>
    <t>Term:</t>
  </si>
  <si>
    <t>Monthly Payment:</t>
  </si>
  <si>
    <t>Year</t>
  </si>
  <si>
    <t>Principal</t>
  </si>
  <si>
    <t>Interest</t>
  </si>
  <si>
    <t>Total Payment</t>
  </si>
  <si>
    <t>Balance</t>
  </si>
  <si>
    <t>Initial</t>
  </si>
  <si>
    <t>Year 1</t>
  </si>
  <si>
    <t>PRO FORMA PROFIT &amp; LOSS STATEMENT</t>
  </si>
  <si>
    <t>GROSS REVENUE</t>
  </si>
  <si>
    <t>TOTAL EXPENSES</t>
  </si>
  <si>
    <t>EBITDA</t>
  </si>
  <si>
    <t>Depreciation</t>
  </si>
  <si>
    <t>EBIT (Operating Income)</t>
  </si>
  <si>
    <t>Interest Expense</t>
  </si>
  <si>
    <t>NET INCOME (Before Tax)</t>
  </si>
  <si>
    <t>KEY METRICS</t>
  </si>
  <si>
    <t>EBITDA Margin %</t>
  </si>
  <si>
    <t>Net Margin %</t>
  </si>
  <si>
    <t>CASH FLOW PROJECTION</t>
  </si>
  <si>
    <t>OPERATING ACTIVITIES</t>
  </si>
  <si>
    <t>Net Income</t>
  </si>
  <si>
    <t>Add: Depreciation</t>
  </si>
  <si>
    <t>Cash from Operations</t>
  </si>
  <si>
    <t>FINANCING ACTIVITIES</t>
  </si>
  <si>
    <t>Principal Payments</t>
  </si>
  <si>
    <t>NET CASH FLOW</t>
  </si>
  <si>
    <t>Beginning Cash Balance</t>
  </si>
  <si>
    <t>Ending Cash Balance</t>
  </si>
  <si>
    <t>DECO ART CENTER - FINANCIAL DASHBOARD</t>
  </si>
  <si>
    <t>EXECUTIVE SUMMARY - RENTAL MODEL</t>
  </si>
  <si>
    <t>Startup Costs (excl. reserve)</t>
  </si>
  <si>
    <t>Operating Reserve (4 months)</t>
  </si>
  <si>
    <t>Monthly Loan Payment</t>
  </si>
  <si>
    <t>Monthly Rent (Base + NNN)</t>
  </si>
  <si>
    <t>5-YEAR FINANCIAL PERFORMANCE</t>
  </si>
  <si>
    <t>Metric</t>
  </si>
  <si>
    <t>Revenue</t>
  </si>
  <si>
    <t>Expenses</t>
  </si>
  <si>
    <t>Cash Flow</t>
  </si>
  <si>
    <t>KEY RATIOS</t>
  </si>
  <si>
    <t>EBITDA Margin</t>
  </si>
  <si>
    <t>Net Margin</t>
  </si>
  <si>
    <t>NOTES FOR LENDERS:</t>
  </si>
  <si>
    <t>• Conservative 50% capacity Year 1, growing 20% annually</t>
  </si>
  <si>
    <t>• Multiple revenue streams (classes, camps, events, beverages, retail)</t>
  </si>
  <si>
    <t>• All pricing based on Tulsa market research</t>
  </si>
  <si>
    <t>• Year 1 = 10 months operation (March-December 2026)</t>
  </si>
  <si>
    <t>• 3-month operating reserve included in startup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</si>
</sst>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$#,##0"/>
    <numFmt numFmtId="166" formatCode="mmmm yyyy"/>
    <numFmt numFmtId="167" formatCode="m-d"/>
    <numFmt numFmtId="168" formatCode="0.0%"/>
  </numFmts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8F5E9"/>
        <bgColor rgb="FFE8F5E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3E0"/>
        <bgColor rgb="FFFFF3E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1" numFmtId="0" xfId="0" applyAlignment="1" applyFill="1" applyFont="1">
      <alignment horizontal="center" readingOrder="0"/>
    </xf>
    <xf borderId="0" fillId="3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3" numFmtId="9" xfId="0" applyFont="1" applyNumberFormat="1"/>
    <xf borderId="0" fillId="6" fontId="1" numFmtId="0" xfId="0" applyAlignment="1" applyFill="1" applyFont="1">
      <alignment horizontal="center" readingOrder="0"/>
    </xf>
    <xf borderId="0" fillId="7" fontId="5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9" fontId="3" numFmtId="167" xfId="0" applyAlignment="1" applyFill="1" applyFont="1" applyNumberFormat="1">
      <alignment readingOrder="0"/>
    </xf>
    <xf borderId="0" fillId="9" fontId="3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3" numFmtId="165" xfId="0" applyAlignment="1" applyFont="1" applyNumberFormat="1">
      <alignment readingOrder="0"/>
    </xf>
    <xf borderId="0" fillId="9" fontId="3" numFmtId="9" xfId="0" applyAlignment="1" applyFont="1" applyNumberFormat="1">
      <alignment readingOrder="0"/>
    </xf>
    <xf borderId="0" fillId="9" fontId="3" numFmtId="9" xfId="0" applyFont="1" applyNumberFormat="1"/>
    <xf borderId="0" fillId="9" fontId="3" numFmtId="0" xfId="0" applyFont="1"/>
    <xf borderId="0" fillId="10" fontId="3" numFmtId="167" xfId="0" applyAlignment="1" applyFill="1" applyFont="1" applyNumberFormat="1">
      <alignment readingOrder="0"/>
    </xf>
    <xf borderId="0" fillId="10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0" fontId="3" numFmtId="165" xfId="0" applyAlignment="1" applyFont="1" applyNumberFormat="1">
      <alignment readingOrder="0"/>
    </xf>
    <xf borderId="0" fillId="10" fontId="3" numFmtId="9" xfId="0" applyAlignment="1" applyFont="1" applyNumberFormat="1">
      <alignment readingOrder="0"/>
    </xf>
    <xf borderId="0" fillId="10" fontId="3" numFmtId="9" xfId="0" applyFont="1" applyNumberFormat="1"/>
    <xf borderId="0" fillId="10" fontId="3" numFmtId="0" xfId="0" applyFont="1"/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165" xfId="0" applyAlignment="1" applyFont="1" applyNumberFormat="1">
      <alignment readingOrder="0"/>
    </xf>
    <xf borderId="0" fillId="3" fontId="3" numFmtId="9" xfId="0" applyFont="1" applyNumberFormat="1"/>
    <xf borderId="0" fillId="3" fontId="3" numFmtId="0" xfId="0" applyFont="1"/>
    <xf borderId="0" fillId="11" fontId="1" numFmtId="0" xfId="0" applyAlignment="1" applyFill="1" applyFont="1">
      <alignment horizontal="center" readingOrder="0"/>
    </xf>
    <xf borderId="0" fillId="12" fontId="5" numFmtId="0" xfId="0" applyAlignment="1" applyFill="1" applyFont="1">
      <alignment readingOrder="0"/>
    </xf>
    <xf borderId="0" fillId="0" fontId="5" numFmtId="0" xfId="0" applyFont="1"/>
    <xf borderId="0" fillId="0" fontId="3" numFmtId="164" xfId="0" applyFont="1" applyNumberFormat="1"/>
    <xf borderId="0" fillId="13" fontId="5" numFmtId="0" xfId="0" applyFill="1" applyFont="1"/>
    <xf borderId="0" fillId="13" fontId="5" numFmtId="0" xfId="0" applyAlignment="1" applyFont="1">
      <alignment readingOrder="0"/>
    </xf>
    <xf borderId="0" fillId="13" fontId="5" numFmtId="164" xfId="0" applyFont="1" applyNumberFormat="1"/>
    <xf borderId="0" fillId="0" fontId="5" numFmtId="164" xfId="0" applyFont="1" applyNumberFormat="1"/>
    <xf borderId="0" fillId="11" fontId="6" numFmtId="0" xfId="0" applyFont="1"/>
    <xf borderId="0" fillId="11" fontId="6" numFmtId="0" xfId="0" applyAlignment="1" applyFont="1">
      <alignment readingOrder="0"/>
    </xf>
    <xf borderId="0" fillId="11" fontId="6" numFmtId="164" xfId="0" applyFont="1" applyNumberFormat="1"/>
    <xf borderId="0" fillId="3" fontId="5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5" numFmtId="165" xfId="0" applyFont="1" applyNumberFormat="1"/>
    <xf borderId="0" fillId="14" fontId="1" numFmtId="0" xfId="0" applyAlignment="1" applyFill="1" applyFont="1">
      <alignment horizontal="left" readingOrder="0"/>
    </xf>
    <xf borderId="0" fillId="15" fontId="5" numFmtId="0" xfId="0" applyAlignment="1" applyFill="1" applyFont="1">
      <alignment readingOrder="0"/>
    </xf>
    <xf borderId="0" fillId="15" fontId="5" numFmtId="165" xfId="0" applyAlignment="1" applyFont="1" applyNumberFormat="1">
      <alignment readingOrder="0"/>
    </xf>
    <xf borderId="0" fillId="14" fontId="6" numFmtId="0" xfId="0" applyAlignment="1" applyFont="1">
      <alignment readingOrder="0"/>
    </xf>
    <xf borderId="0" fillId="14" fontId="6" numFmtId="165" xfId="0" applyFont="1" applyNumberFormat="1"/>
    <xf borderId="0" fillId="11" fontId="1" numFmtId="0" xfId="0" applyAlignment="1" applyFont="1">
      <alignment horizontal="left" readingOrder="0"/>
    </xf>
    <xf borderId="0" fillId="12" fontId="5" numFmtId="165" xfId="0" applyFont="1" applyNumberFormat="1"/>
    <xf borderId="0" fillId="11" fontId="6" numFmtId="165" xfId="0" applyFont="1" applyNumberFormat="1"/>
    <xf borderId="0" fillId="16" fontId="1" numFmtId="0" xfId="0" applyAlignment="1" applyFill="1" applyFont="1">
      <alignment horizontal="center" readingOrder="0"/>
    </xf>
    <xf borderId="0" fillId="0" fontId="3" numFmtId="10" xfId="0" applyFont="1" applyNumberFormat="1"/>
    <xf borderId="0" fillId="0" fontId="3" numFmtId="0" xfId="0" applyFont="1"/>
    <xf borderId="0" fillId="17" fontId="5" numFmtId="0" xfId="0" applyAlignment="1" applyFill="1" applyFont="1">
      <alignment readingOrder="0"/>
    </xf>
    <xf borderId="0" fillId="7" fontId="5" numFmtId="0" xfId="0" applyFont="1"/>
    <xf borderId="0" fillId="7" fontId="5" numFmtId="165" xfId="0" applyFont="1" applyNumberFormat="1"/>
    <xf borderId="0" fillId="6" fontId="6" numFmtId="0" xfId="0" applyAlignment="1" applyFont="1">
      <alignment readingOrder="0"/>
    </xf>
    <xf borderId="0" fillId="6" fontId="6" numFmtId="165" xfId="0" applyFont="1" applyNumberFormat="1"/>
    <xf borderId="0" fillId="0" fontId="3" numFmtId="168" xfId="0" applyFont="1" applyNumberFormat="1"/>
    <xf borderId="0" fillId="18" fontId="1" numFmtId="0" xfId="0" applyAlignment="1" applyFill="1" applyFont="1">
      <alignment horizontal="center" readingOrder="0"/>
    </xf>
    <xf borderId="0" fillId="19" fontId="5" numFmtId="0" xfId="0" applyFill="1" applyFont="1"/>
    <xf borderId="0" fillId="19" fontId="5" numFmtId="165" xfId="0" applyAlignment="1" applyFont="1" applyNumberFormat="1">
      <alignment readingOrder="0"/>
    </xf>
    <xf borderId="0" fillId="19" fontId="5" numFmtId="0" xfId="0" applyAlignment="1" applyFont="1">
      <alignment readingOrder="0"/>
    </xf>
    <xf borderId="0" fillId="18" fontId="6" numFmtId="0" xfId="0" applyAlignment="1" applyFont="1">
      <alignment readingOrder="0"/>
    </xf>
    <xf borderId="0" fillId="18" fontId="6" numFmtId="165" xfId="0" applyFont="1" applyNumberFormat="1"/>
    <xf borderId="0" fillId="20" fontId="1" numFmtId="0" xfId="0" applyAlignment="1" applyFill="1" applyFont="1">
      <alignment horizontal="center" readingOrder="0"/>
    </xf>
    <xf borderId="0" fillId="21" fontId="2" numFmtId="0" xfId="0" applyAlignment="1" applyFill="1" applyFont="1">
      <alignment readingOrder="0"/>
    </xf>
    <xf borderId="0" fillId="2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8.88"/>
  </cols>
  <sheetData>
    <row r="1">
      <c r="A1" s="1" t="s">
        <v>0</v>
      </c>
      <c r="D1" s="2" t="s">
        <v>1</v>
      </c>
    </row>
    <row r="2">
      <c r="D2" s="3" t="s">
        <v>2</v>
      </c>
    </row>
    <row r="3">
      <c r="A3" s="4" t="s">
        <v>3</v>
      </c>
      <c r="D3" s="3" t="s">
        <v>4</v>
      </c>
    </row>
    <row r="4">
      <c r="A4" s="3" t="s">
        <v>5</v>
      </c>
      <c r="B4" s="5">
        <v>3000.0</v>
      </c>
      <c r="D4" s="3" t="s">
        <v>6</v>
      </c>
    </row>
    <row r="5">
      <c r="A5" s="3" t="s">
        <v>7</v>
      </c>
      <c r="B5" s="6">
        <v>15.0</v>
      </c>
    </row>
    <row r="6">
      <c r="A6" s="3" t="s">
        <v>8</v>
      </c>
      <c r="B6" s="6">
        <v>3.0</v>
      </c>
    </row>
    <row r="7">
      <c r="A7" s="7" t="s">
        <v>9</v>
      </c>
      <c r="B7" s="8">
        <f>B4*(B5+B6)</f>
        <v>54000</v>
      </c>
    </row>
    <row r="8">
      <c r="A8" s="7" t="s">
        <v>10</v>
      </c>
      <c r="B8" s="8">
        <f>B7/12</f>
        <v>4500</v>
      </c>
    </row>
    <row r="10">
      <c r="A10" s="4" t="s">
        <v>11</v>
      </c>
    </row>
    <row r="11">
      <c r="A11" s="3" t="s">
        <v>12</v>
      </c>
      <c r="B11" s="9">
        <v>46082.0</v>
      </c>
    </row>
    <row r="12">
      <c r="A12" s="3" t="s">
        <v>13</v>
      </c>
      <c r="B12" s="10">
        <v>10.0</v>
      </c>
    </row>
    <row r="13">
      <c r="A13" s="3" t="s">
        <v>14</v>
      </c>
      <c r="B13" s="10">
        <v>6.0</v>
      </c>
    </row>
    <row r="14">
      <c r="A14" s="3" t="s">
        <v>15</v>
      </c>
      <c r="B14" s="10">
        <v>12.0</v>
      </c>
    </row>
    <row r="16">
      <c r="A16" s="4" t="s">
        <v>16</v>
      </c>
    </row>
    <row r="17">
      <c r="A17" s="3" t="s">
        <v>17</v>
      </c>
      <c r="B17" s="11">
        <f>'Startup Costs'!B28</f>
        <v>80875</v>
      </c>
    </row>
    <row r="18">
      <c r="A18" s="3" t="s">
        <v>18</v>
      </c>
      <c r="B18" s="3">
        <v>3.0</v>
      </c>
    </row>
    <row r="19">
      <c r="A19" s="3" t="s">
        <v>19</v>
      </c>
      <c r="B19" s="11">
        <f>Expenses!B35/12*B18</f>
        <v>0</v>
      </c>
    </row>
    <row r="20">
      <c r="A20" s="7" t="s">
        <v>20</v>
      </c>
      <c r="B20" s="8">
        <f>B17+B19</f>
        <v>80875</v>
      </c>
    </row>
    <row r="21">
      <c r="A21" s="3" t="s">
        <v>21</v>
      </c>
      <c r="B21" s="10">
        <v>10.0</v>
      </c>
    </row>
    <row r="22">
      <c r="A22" s="3" t="s">
        <v>22</v>
      </c>
      <c r="B22" s="12">
        <v>0.1225</v>
      </c>
    </row>
    <row r="23">
      <c r="A23" s="3" t="s">
        <v>23</v>
      </c>
      <c r="B23" s="11">
        <f>-PMT(B22/12,B21*12,B20)</f>
        <v>1172.039422</v>
      </c>
    </row>
    <row r="25">
      <c r="A25" s="4" t="s">
        <v>24</v>
      </c>
    </row>
    <row r="26">
      <c r="A26" s="3" t="s">
        <v>25</v>
      </c>
      <c r="B26" s="13">
        <v>0.6</v>
      </c>
    </row>
    <row r="27">
      <c r="A27" s="3" t="s">
        <v>26</v>
      </c>
      <c r="B27" s="13">
        <v>0.2</v>
      </c>
    </row>
    <row r="28">
      <c r="A28" s="3" t="s">
        <v>27</v>
      </c>
      <c r="B28" s="13">
        <v>0.05</v>
      </c>
    </row>
    <row r="30">
      <c r="A30" s="4" t="s">
        <v>28</v>
      </c>
    </row>
    <row r="31">
      <c r="A31" s="3" t="s">
        <v>29</v>
      </c>
      <c r="B31" s="14">
        <v>50000.0</v>
      </c>
    </row>
    <row r="32">
      <c r="A32" s="3" t="s">
        <v>30</v>
      </c>
      <c r="B32" s="14">
        <v>50000.0</v>
      </c>
    </row>
    <row r="33">
      <c r="A33" s="3" t="s">
        <v>31</v>
      </c>
      <c r="B33" s="14">
        <v>25.0</v>
      </c>
    </row>
    <row r="34">
      <c r="A34" s="3" t="s">
        <v>32</v>
      </c>
      <c r="B34" s="3">
        <v>0.0</v>
      </c>
    </row>
    <row r="35">
      <c r="A35" s="3" t="s">
        <v>33</v>
      </c>
      <c r="B35" s="14">
        <v>23.0</v>
      </c>
    </row>
    <row r="36">
      <c r="A36" s="3" t="s">
        <v>34</v>
      </c>
      <c r="B36" s="14">
        <v>15.0</v>
      </c>
    </row>
    <row r="37">
      <c r="A37" s="3" t="s">
        <v>35</v>
      </c>
      <c r="B37" s="12">
        <v>0.0765</v>
      </c>
    </row>
    <row r="39">
      <c r="A39" s="4" t="s">
        <v>36</v>
      </c>
    </row>
    <row r="40">
      <c r="A40" s="3" t="s">
        <v>37</v>
      </c>
      <c r="B40" s="3">
        <v>8.0</v>
      </c>
    </row>
    <row r="41">
      <c r="A41" s="3" t="s">
        <v>38</v>
      </c>
      <c r="B41" s="14">
        <v>55.0</v>
      </c>
    </row>
    <row r="42">
      <c r="A42" s="3" t="s">
        <v>39</v>
      </c>
      <c r="B42" s="3">
        <v>20.0</v>
      </c>
    </row>
    <row r="43">
      <c r="A43" s="3" t="s">
        <v>40</v>
      </c>
      <c r="B43" s="3">
        <v>3.0</v>
      </c>
    </row>
    <row r="44">
      <c r="A44" s="3" t="s">
        <v>41</v>
      </c>
      <c r="B44" s="14">
        <v>99.0</v>
      </c>
    </row>
    <row r="45">
      <c r="A45" s="3" t="s">
        <v>42</v>
      </c>
      <c r="B45" s="14">
        <v>15.0</v>
      </c>
    </row>
    <row r="46">
      <c r="A46" s="3" t="s">
        <v>43</v>
      </c>
      <c r="B46" s="3">
        <v>15.0</v>
      </c>
    </row>
    <row r="47">
      <c r="A47" s="3" t="s">
        <v>44</v>
      </c>
      <c r="B47" s="3">
        <v>2.0</v>
      </c>
    </row>
    <row r="48">
      <c r="A48" s="3" t="s">
        <v>45</v>
      </c>
      <c r="B48" s="14">
        <v>75.0</v>
      </c>
    </row>
    <row r="49">
      <c r="A49" s="3" t="s">
        <v>46</v>
      </c>
      <c r="B49" s="10">
        <v>15.0</v>
      </c>
    </row>
    <row r="51">
      <c r="A51" s="4" t="s">
        <v>47</v>
      </c>
    </row>
    <row r="52">
      <c r="A52" s="3" t="s">
        <v>48</v>
      </c>
      <c r="B52" s="10">
        <v>2.0</v>
      </c>
    </row>
    <row r="53">
      <c r="A53" s="3" t="s">
        <v>49</v>
      </c>
      <c r="B53" s="10">
        <v>2.0</v>
      </c>
    </row>
    <row r="54">
      <c r="A54" s="3" t="s">
        <v>50</v>
      </c>
      <c r="B54" s="10">
        <v>1.5</v>
      </c>
    </row>
    <row r="55">
      <c r="A55" s="3" t="s">
        <v>51</v>
      </c>
      <c r="B55" s="14">
        <v>4.0</v>
      </c>
    </row>
    <row r="56">
      <c r="A56" s="3" t="s">
        <v>52</v>
      </c>
      <c r="B56" s="14">
        <v>7.0</v>
      </c>
    </row>
    <row r="57">
      <c r="A57" s="3" t="s">
        <v>53</v>
      </c>
      <c r="B57" s="14">
        <v>9.0</v>
      </c>
    </row>
    <row r="58">
      <c r="A58" s="3" t="s">
        <v>54</v>
      </c>
      <c r="B58" s="13">
        <v>0.3</v>
      </c>
    </row>
    <row r="60">
      <c r="A60" s="4" t="s">
        <v>55</v>
      </c>
    </row>
    <row r="61">
      <c r="A61" s="3" t="s">
        <v>56</v>
      </c>
      <c r="B61" s="12">
        <v>0.08</v>
      </c>
    </row>
    <row r="62">
      <c r="A62" s="3" t="s">
        <v>57</v>
      </c>
      <c r="B62" s="12">
        <v>0.08</v>
      </c>
    </row>
    <row r="63">
      <c r="A63" s="3" t="s">
        <v>58</v>
      </c>
      <c r="B63" s="13">
        <v>0.1</v>
      </c>
    </row>
    <row r="64">
      <c r="A64" s="3" t="s">
        <v>59</v>
      </c>
      <c r="B64" s="14">
        <v>500.0</v>
      </c>
    </row>
    <row r="65">
      <c r="A65" s="3" t="s">
        <v>60</v>
      </c>
      <c r="B65" s="14">
        <v>200.0</v>
      </c>
    </row>
    <row r="66">
      <c r="A66" s="3" t="s">
        <v>61</v>
      </c>
      <c r="B66" s="14">
        <v>200.0</v>
      </c>
    </row>
    <row r="67">
      <c r="A67" s="3" t="s">
        <v>62</v>
      </c>
      <c r="B67" s="14">
        <v>200.0</v>
      </c>
    </row>
    <row r="68">
      <c r="A68" s="3" t="s">
        <v>63</v>
      </c>
      <c r="B68" s="14">
        <f>6500/12</f>
        <v>541.6666667</v>
      </c>
    </row>
    <row r="69">
      <c r="A69" s="3" t="s">
        <v>64</v>
      </c>
      <c r="B69" s="14">
        <v>0.0</v>
      </c>
    </row>
    <row r="70">
      <c r="A70" s="3" t="s">
        <v>65</v>
      </c>
      <c r="B70" s="14">
        <v>5000.0</v>
      </c>
    </row>
    <row r="71">
      <c r="A71" s="3" t="s">
        <v>66</v>
      </c>
      <c r="B71" s="14">
        <v>1500.0</v>
      </c>
    </row>
    <row r="72">
      <c r="A72" s="3" t="s">
        <v>67</v>
      </c>
      <c r="B72" s="12">
        <v>0.03</v>
      </c>
    </row>
    <row r="73">
      <c r="A73" s="3" t="s">
        <v>68</v>
      </c>
      <c r="B73" s="14">
        <v>3600.0</v>
      </c>
    </row>
    <row r="74">
      <c r="A74" s="3" t="s">
        <v>69</v>
      </c>
      <c r="B74" s="14">
        <v>2400.0</v>
      </c>
    </row>
    <row r="75">
      <c r="A75" s="3" t="s">
        <v>70</v>
      </c>
      <c r="B75" s="14">
        <v>1200.0</v>
      </c>
    </row>
    <row r="76">
      <c r="A76" s="3" t="s">
        <v>71</v>
      </c>
      <c r="B76" s="14">
        <v>1030.0</v>
      </c>
    </row>
    <row r="78">
      <c r="A78" s="4" t="s">
        <v>72</v>
      </c>
    </row>
    <row r="79">
      <c r="A79" s="3" t="s">
        <v>73</v>
      </c>
      <c r="B79" s="11">
        <f>15000/15</f>
        <v>1000</v>
      </c>
    </row>
    <row r="80">
      <c r="A80" s="3" t="s">
        <v>74</v>
      </c>
      <c r="B80" s="11">
        <f>17800/7</f>
        <v>2542.857143</v>
      </c>
    </row>
    <row r="81">
      <c r="A81" s="3" t="s">
        <v>75</v>
      </c>
      <c r="B81" s="11">
        <f>B79+B80</f>
        <v>3542.857143</v>
      </c>
    </row>
  </sheetData>
  <mergeCells count="10">
    <mergeCell ref="A51:B51"/>
    <mergeCell ref="A60:B60"/>
    <mergeCell ref="A78:B78"/>
    <mergeCell ref="A1:B1"/>
    <mergeCell ref="A3:B3"/>
    <mergeCell ref="A10:B10"/>
    <mergeCell ref="A16:B16"/>
    <mergeCell ref="A25:B25"/>
    <mergeCell ref="A30:B30"/>
    <mergeCell ref="A39:B3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0.13"/>
    <col customWidth="1" min="3" max="3" width="8.88"/>
    <col customWidth="1" min="4" max="4" width="10.13"/>
    <col customWidth="1" min="5" max="5" width="11.38"/>
    <col customWidth="1" min="6" max="6" width="10.75"/>
    <col customWidth="1" min="7" max="7" width="8.88"/>
    <col customWidth="1" min="8" max="8" width="10.75"/>
    <col customWidth="1" min="9" max="9" width="8.88"/>
    <col customWidth="1" min="10" max="10" width="10.75"/>
    <col customWidth="1" min="11" max="11" width="8.88"/>
    <col customWidth="1" min="12" max="12" width="10.75"/>
    <col customWidth="1" min="13" max="13" width="8.88"/>
    <col customWidth="1" min="14" max="14" width="10.75"/>
    <col customWidth="1" min="15" max="15" width="8.88"/>
    <col customWidth="1" min="16" max="16" width="15.13"/>
  </cols>
  <sheetData>
    <row r="1">
      <c r="A1" s="15" t="s">
        <v>76</v>
      </c>
    </row>
    <row r="3">
      <c r="A3" s="16" t="s">
        <v>77</v>
      </c>
      <c r="B3" s="16" t="s">
        <v>78</v>
      </c>
      <c r="C3" s="16" t="s">
        <v>79</v>
      </c>
      <c r="D3" s="16" t="s">
        <v>80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  <c r="K3" s="16" t="s">
        <v>87</v>
      </c>
      <c r="L3" s="16" t="s">
        <v>88</v>
      </c>
      <c r="M3" s="16" t="s">
        <v>89</v>
      </c>
      <c r="N3" s="16" t="s">
        <v>90</v>
      </c>
      <c r="O3" s="16" t="s">
        <v>91</v>
      </c>
      <c r="P3" s="16" t="s">
        <v>92</v>
      </c>
    </row>
    <row r="4">
      <c r="A4" s="3" t="s">
        <v>93</v>
      </c>
      <c r="B4" s="10">
        <v>2.0</v>
      </c>
      <c r="C4" s="14">
        <v>199.0</v>
      </c>
      <c r="D4" s="10">
        <v>12.0</v>
      </c>
      <c r="E4" s="10">
        <v>12.0</v>
      </c>
      <c r="F4" s="17">
        <v>6.0</v>
      </c>
      <c r="G4" s="18">
        <f t="shared" ref="G4:G14" si="1">F4/$D4</f>
        <v>0.5</v>
      </c>
      <c r="H4" s="17">
        <v>7.0</v>
      </c>
      <c r="I4" s="18">
        <f t="shared" ref="I4:I14" si="2">H4/$D4</f>
        <v>0.5833333333</v>
      </c>
      <c r="J4" s="17">
        <v>8.0</v>
      </c>
      <c r="K4" s="18">
        <f t="shared" ref="K4:K14" si="3">J4/$D4</f>
        <v>0.6666666667</v>
      </c>
      <c r="L4" s="17">
        <v>10.0</v>
      </c>
      <c r="M4" s="18">
        <f t="shared" ref="M4:M14" si="4">L4/$D4</f>
        <v>0.8333333333</v>
      </c>
      <c r="N4" s="17">
        <v>12.0</v>
      </c>
      <c r="O4" s="18">
        <f t="shared" ref="O4:O14" si="5">N4/$D4</f>
        <v>1</v>
      </c>
      <c r="P4" s="3" t="s">
        <v>94</v>
      </c>
    </row>
    <row r="5">
      <c r="A5" s="3" t="s">
        <v>95</v>
      </c>
      <c r="B5" s="10">
        <v>2.5</v>
      </c>
      <c r="C5" s="14">
        <v>229.0</v>
      </c>
      <c r="D5" s="3">
        <v>8.0</v>
      </c>
      <c r="E5" s="10">
        <v>12.0</v>
      </c>
      <c r="F5" s="17">
        <v>3.0</v>
      </c>
      <c r="G5" s="18">
        <f t="shared" si="1"/>
        <v>0.375</v>
      </c>
      <c r="H5" s="17">
        <v>4.0</v>
      </c>
      <c r="I5" s="18">
        <f t="shared" si="2"/>
        <v>0.5</v>
      </c>
      <c r="J5" s="17">
        <v>5.0</v>
      </c>
      <c r="K5" s="18">
        <f t="shared" si="3"/>
        <v>0.625</v>
      </c>
      <c r="L5" s="17">
        <v>6.0</v>
      </c>
      <c r="M5" s="18">
        <f t="shared" si="4"/>
        <v>0.75</v>
      </c>
      <c r="N5" s="17">
        <v>6.0</v>
      </c>
      <c r="O5" s="18">
        <f t="shared" si="5"/>
        <v>0.75</v>
      </c>
      <c r="P5" s="3" t="s">
        <v>96</v>
      </c>
    </row>
    <row r="6">
      <c r="A6" s="3" t="s">
        <v>97</v>
      </c>
      <c r="B6" s="10">
        <v>2.0</v>
      </c>
      <c r="C6" s="14">
        <v>199.0</v>
      </c>
      <c r="D6" s="10">
        <v>15.0</v>
      </c>
      <c r="E6" s="10">
        <v>12.0</v>
      </c>
      <c r="F6" s="17">
        <v>8.0</v>
      </c>
      <c r="G6" s="18">
        <f t="shared" si="1"/>
        <v>0.5333333333</v>
      </c>
      <c r="H6" s="17">
        <v>10.0</v>
      </c>
      <c r="I6" s="18">
        <f t="shared" si="2"/>
        <v>0.6666666667</v>
      </c>
      <c r="J6" s="17">
        <v>12.0</v>
      </c>
      <c r="K6" s="18">
        <f t="shared" si="3"/>
        <v>0.8</v>
      </c>
      <c r="L6" s="17">
        <v>14.0</v>
      </c>
      <c r="M6" s="18">
        <f t="shared" si="4"/>
        <v>0.9333333333</v>
      </c>
      <c r="N6" s="17">
        <v>15.0</v>
      </c>
      <c r="O6" s="18">
        <f t="shared" si="5"/>
        <v>1</v>
      </c>
      <c r="P6" s="3" t="s">
        <v>94</v>
      </c>
    </row>
    <row r="7">
      <c r="A7" s="3" t="s">
        <v>98</v>
      </c>
      <c r="B7" s="10">
        <v>2.0</v>
      </c>
      <c r="C7" s="14">
        <v>229.0</v>
      </c>
      <c r="D7" s="3">
        <v>8.0</v>
      </c>
      <c r="E7" s="10">
        <v>12.0</v>
      </c>
      <c r="F7" s="17">
        <v>3.0</v>
      </c>
      <c r="G7" s="18">
        <f t="shared" si="1"/>
        <v>0.375</v>
      </c>
      <c r="H7" s="17">
        <v>4.0</v>
      </c>
      <c r="I7" s="18">
        <f t="shared" si="2"/>
        <v>0.5</v>
      </c>
      <c r="J7" s="17">
        <v>5.0</v>
      </c>
      <c r="K7" s="18">
        <f t="shared" si="3"/>
        <v>0.625</v>
      </c>
      <c r="L7" s="17">
        <v>6.0</v>
      </c>
      <c r="M7" s="18">
        <f t="shared" si="4"/>
        <v>0.75</v>
      </c>
      <c r="N7" s="17">
        <v>6.0</v>
      </c>
      <c r="O7" s="18">
        <f t="shared" si="5"/>
        <v>0.75</v>
      </c>
      <c r="P7" s="3" t="s">
        <v>94</v>
      </c>
    </row>
    <row r="8">
      <c r="A8" s="3" t="s">
        <v>99</v>
      </c>
      <c r="B8" s="10">
        <v>1.5</v>
      </c>
      <c r="C8" s="14">
        <v>159.0</v>
      </c>
      <c r="D8" s="10">
        <v>12.0</v>
      </c>
      <c r="E8" s="10">
        <v>12.0</v>
      </c>
      <c r="F8" s="17">
        <v>6.0</v>
      </c>
      <c r="G8" s="18">
        <f t="shared" si="1"/>
        <v>0.5</v>
      </c>
      <c r="H8" s="17">
        <v>7.0</v>
      </c>
      <c r="I8" s="18">
        <f t="shared" si="2"/>
        <v>0.5833333333</v>
      </c>
      <c r="J8" s="17">
        <v>8.0</v>
      </c>
      <c r="K8" s="18">
        <f t="shared" si="3"/>
        <v>0.6666666667</v>
      </c>
      <c r="L8" s="17">
        <v>10.0</v>
      </c>
      <c r="M8" s="18">
        <f t="shared" si="4"/>
        <v>0.8333333333</v>
      </c>
      <c r="N8" s="17">
        <v>12.0</v>
      </c>
      <c r="O8" s="18">
        <f t="shared" si="5"/>
        <v>1</v>
      </c>
      <c r="P8" s="3" t="s">
        <v>100</v>
      </c>
    </row>
    <row r="9">
      <c r="A9" s="3" t="s">
        <v>101</v>
      </c>
      <c r="B9" s="10">
        <v>1.5</v>
      </c>
      <c r="C9" s="14">
        <v>179.0</v>
      </c>
      <c r="D9" s="10">
        <v>6.0</v>
      </c>
      <c r="E9" s="10">
        <v>12.0</v>
      </c>
      <c r="F9" s="17">
        <v>3.0</v>
      </c>
      <c r="G9" s="18">
        <f t="shared" si="1"/>
        <v>0.5</v>
      </c>
      <c r="H9" s="17">
        <v>4.0</v>
      </c>
      <c r="I9" s="18">
        <f t="shared" si="2"/>
        <v>0.6666666667</v>
      </c>
      <c r="J9" s="17">
        <v>5.0</v>
      </c>
      <c r="K9" s="18">
        <f t="shared" si="3"/>
        <v>0.8333333333</v>
      </c>
      <c r="L9" s="17">
        <v>6.0</v>
      </c>
      <c r="M9" s="18">
        <f t="shared" si="4"/>
        <v>1</v>
      </c>
      <c r="N9" s="17">
        <v>6.0</v>
      </c>
      <c r="O9" s="18">
        <f t="shared" si="5"/>
        <v>1</v>
      </c>
      <c r="P9" s="3" t="s">
        <v>100</v>
      </c>
    </row>
    <row r="10">
      <c r="A10" s="3" t="s">
        <v>102</v>
      </c>
      <c r="B10" s="3">
        <v>1.5</v>
      </c>
      <c r="C10" s="14">
        <v>154.0</v>
      </c>
      <c r="D10" s="10">
        <v>12.0</v>
      </c>
      <c r="E10" s="10">
        <v>12.0</v>
      </c>
      <c r="F10" s="17">
        <v>6.0</v>
      </c>
      <c r="G10" s="18">
        <f t="shared" si="1"/>
        <v>0.5</v>
      </c>
      <c r="H10" s="17">
        <v>7.0</v>
      </c>
      <c r="I10" s="18">
        <f t="shared" si="2"/>
        <v>0.5833333333</v>
      </c>
      <c r="J10" s="17">
        <v>8.0</v>
      </c>
      <c r="K10" s="18">
        <f t="shared" si="3"/>
        <v>0.6666666667</v>
      </c>
      <c r="L10" s="17">
        <v>10.0</v>
      </c>
      <c r="M10" s="18">
        <f t="shared" si="4"/>
        <v>0.8333333333</v>
      </c>
      <c r="N10" s="17">
        <v>12.0</v>
      </c>
      <c r="O10" s="18">
        <f t="shared" si="5"/>
        <v>1</v>
      </c>
      <c r="P10" s="3" t="s">
        <v>103</v>
      </c>
    </row>
    <row r="11">
      <c r="A11" s="3" t="s">
        <v>104</v>
      </c>
      <c r="B11" s="3">
        <v>1.5</v>
      </c>
      <c r="C11" s="14">
        <v>154.0</v>
      </c>
      <c r="D11" s="10">
        <v>12.0</v>
      </c>
      <c r="E11" s="10">
        <v>12.0</v>
      </c>
      <c r="F11" s="17">
        <v>6.0</v>
      </c>
      <c r="G11" s="18">
        <f t="shared" si="1"/>
        <v>0.5</v>
      </c>
      <c r="H11" s="17">
        <v>7.0</v>
      </c>
      <c r="I11" s="18">
        <f t="shared" si="2"/>
        <v>0.5833333333</v>
      </c>
      <c r="J11" s="17">
        <v>8.0</v>
      </c>
      <c r="K11" s="18">
        <f t="shared" si="3"/>
        <v>0.6666666667</v>
      </c>
      <c r="L11" s="17">
        <v>10.0</v>
      </c>
      <c r="M11" s="18">
        <f t="shared" si="4"/>
        <v>0.8333333333</v>
      </c>
      <c r="N11" s="17">
        <v>12.0</v>
      </c>
      <c r="O11" s="18">
        <f t="shared" si="5"/>
        <v>1</v>
      </c>
      <c r="P11" s="3" t="s">
        <v>103</v>
      </c>
    </row>
    <row r="12">
      <c r="A12" s="3" t="s">
        <v>105</v>
      </c>
      <c r="B12" s="10">
        <v>1.5</v>
      </c>
      <c r="C12" s="14">
        <v>154.0</v>
      </c>
      <c r="D12" s="10">
        <v>12.0</v>
      </c>
      <c r="E12" s="10">
        <v>12.0</v>
      </c>
      <c r="F12" s="17">
        <v>6.0</v>
      </c>
      <c r="G12" s="18">
        <f t="shared" si="1"/>
        <v>0.5</v>
      </c>
      <c r="H12" s="17">
        <v>7.0</v>
      </c>
      <c r="I12" s="18">
        <f t="shared" si="2"/>
        <v>0.5833333333</v>
      </c>
      <c r="J12" s="17">
        <v>8.0</v>
      </c>
      <c r="K12" s="18">
        <f t="shared" si="3"/>
        <v>0.6666666667</v>
      </c>
      <c r="L12" s="17">
        <v>10.0</v>
      </c>
      <c r="M12" s="18">
        <f t="shared" si="4"/>
        <v>0.8333333333</v>
      </c>
      <c r="N12" s="17">
        <v>12.0</v>
      </c>
      <c r="O12" s="18">
        <f t="shared" si="5"/>
        <v>1</v>
      </c>
      <c r="P12" s="3" t="s">
        <v>100</v>
      </c>
    </row>
    <row r="13">
      <c r="A13" s="3" t="s">
        <v>106</v>
      </c>
      <c r="B13" s="10">
        <v>1.5</v>
      </c>
      <c r="C13" s="14">
        <v>154.0</v>
      </c>
      <c r="D13" s="10">
        <v>12.0</v>
      </c>
      <c r="E13" s="10">
        <v>12.0</v>
      </c>
      <c r="F13" s="17">
        <v>6.0</v>
      </c>
      <c r="G13" s="18">
        <f t="shared" si="1"/>
        <v>0.5</v>
      </c>
      <c r="H13" s="17">
        <v>7.0</v>
      </c>
      <c r="I13" s="18">
        <f t="shared" si="2"/>
        <v>0.5833333333</v>
      </c>
      <c r="J13" s="17">
        <v>8.0</v>
      </c>
      <c r="K13" s="18">
        <f t="shared" si="3"/>
        <v>0.6666666667</v>
      </c>
      <c r="L13" s="17">
        <v>10.0</v>
      </c>
      <c r="M13" s="18">
        <f t="shared" si="4"/>
        <v>0.8333333333</v>
      </c>
      <c r="N13" s="17">
        <v>12.0</v>
      </c>
      <c r="O13" s="18">
        <f t="shared" si="5"/>
        <v>1</v>
      </c>
      <c r="P13" s="3" t="s">
        <v>100</v>
      </c>
    </row>
    <row r="14">
      <c r="A14" s="3" t="s">
        <v>107</v>
      </c>
      <c r="B14" s="3">
        <v>2.0</v>
      </c>
      <c r="C14" s="14">
        <v>229.0</v>
      </c>
      <c r="D14" s="3">
        <v>8.0</v>
      </c>
      <c r="E14" s="3">
        <v>12.0</v>
      </c>
      <c r="F14" s="17">
        <v>6.0</v>
      </c>
      <c r="G14" s="18">
        <f t="shared" si="1"/>
        <v>0.75</v>
      </c>
      <c r="H14" s="17">
        <v>7.0</v>
      </c>
      <c r="I14" s="18">
        <f t="shared" si="2"/>
        <v>0.875</v>
      </c>
      <c r="J14" s="17">
        <v>8.0</v>
      </c>
      <c r="K14" s="18">
        <f t="shared" si="3"/>
        <v>1</v>
      </c>
      <c r="L14" s="17">
        <v>10.0</v>
      </c>
      <c r="M14" s="18">
        <f t="shared" si="4"/>
        <v>1.25</v>
      </c>
      <c r="N14" s="17">
        <v>12.0</v>
      </c>
      <c r="O14" s="18">
        <f t="shared" si="5"/>
        <v>1.5</v>
      </c>
      <c r="P14" s="3" t="s">
        <v>94</v>
      </c>
    </row>
    <row r="15">
      <c r="A15" s="3" t="s">
        <v>108</v>
      </c>
      <c r="B15" s="3">
        <v>2.0</v>
      </c>
      <c r="C15" s="14">
        <v>229.0</v>
      </c>
    </row>
    <row r="16">
      <c r="A16" s="3" t="s">
        <v>109</v>
      </c>
      <c r="B16" s="3">
        <v>2.0</v>
      </c>
      <c r="C16" s="14">
        <v>179.0</v>
      </c>
    </row>
    <row r="17">
      <c r="A17" s="7"/>
    </row>
    <row r="18">
      <c r="A18" s="7" t="s">
        <v>110</v>
      </c>
    </row>
    <row r="19">
      <c r="A19" s="3" t="s">
        <v>111</v>
      </c>
    </row>
    <row r="20">
      <c r="A20" s="3" t="s">
        <v>112</v>
      </c>
    </row>
    <row r="21">
      <c r="A21" s="3" t="s">
        <v>113</v>
      </c>
    </row>
    <row r="22">
      <c r="A22" s="3" t="s">
        <v>114</v>
      </c>
    </row>
    <row r="23">
      <c r="A23" s="3" t="s">
        <v>115</v>
      </c>
    </row>
  </sheetData>
  <mergeCells count="1">
    <mergeCell ref="A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2.0"/>
    <col customWidth="1" min="3" max="3" width="6.38"/>
    <col customWidth="1" min="4" max="4" width="10.13"/>
    <col customWidth="1" min="5" max="5" width="8.88"/>
    <col customWidth="1" min="6" max="6" width="10.13"/>
    <col customWidth="1" min="7" max="7" width="8.88"/>
    <col customWidth="1" min="8" max="8" width="10.75"/>
    <col customWidth="1" min="9" max="9" width="8.88"/>
    <col customWidth="1" min="10" max="10" width="10.75"/>
    <col customWidth="1" min="11" max="11" width="8.88"/>
    <col customWidth="1" min="12" max="12" width="10.75"/>
    <col customWidth="1" min="13" max="13" width="8.88"/>
    <col customWidth="1" min="14" max="14" width="10.75"/>
    <col customWidth="1" min="15" max="15" width="8.88"/>
    <col customWidth="1" min="16" max="16" width="10.75"/>
    <col customWidth="1" min="17" max="17" width="8.88"/>
  </cols>
  <sheetData>
    <row r="1">
      <c r="A1" s="19" t="s">
        <v>116</v>
      </c>
    </row>
    <row r="3">
      <c r="A3" s="20" t="s">
        <v>117</v>
      </c>
      <c r="B3" s="20" t="s">
        <v>118</v>
      </c>
      <c r="C3" s="20" t="s">
        <v>119</v>
      </c>
      <c r="D3" s="20" t="s">
        <v>120</v>
      </c>
      <c r="E3" s="20" t="s">
        <v>79</v>
      </c>
      <c r="F3" s="20" t="s">
        <v>80</v>
      </c>
      <c r="G3" s="20" t="s">
        <v>121</v>
      </c>
      <c r="H3" s="20" t="s">
        <v>82</v>
      </c>
      <c r="I3" s="20" t="s">
        <v>83</v>
      </c>
      <c r="J3" s="20" t="s">
        <v>84</v>
      </c>
      <c r="K3" s="20" t="s">
        <v>85</v>
      </c>
      <c r="L3" s="20" t="s">
        <v>86</v>
      </c>
      <c r="M3" s="20" t="s">
        <v>87</v>
      </c>
      <c r="N3" s="20" t="s">
        <v>88</v>
      </c>
      <c r="O3" s="20" t="s">
        <v>89</v>
      </c>
      <c r="P3" s="20" t="s">
        <v>90</v>
      </c>
      <c r="Q3" s="20" t="s">
        <v>91</v>
      </c>
    </row>
    <row r="4">
      <c r="A4" s="21">
        <v>45784.0</v>
      </c>
      <c r="B4" s="3" t="s">
        <v>122</v>
      </c>
      <c r="C4" s="10">
        <v>5.0</v>
      </c>
      <c r="D4" s="3" t="s">
        <v>123</v>
      </c>
      <c r="E4" s="14">
        <v>159.0</v>
      </c>
      <c r="F4" s="10">
        <v>12.0</v>
      </c>
      <c r="G4" s="3">
        <v>11.0</v>
      </c>
      <c r="H4" s="22">
        <v>0.0</v>
      </c>
      <c r="I4" s="13">
        <v>0.6</v>
      </c>
      <c r="J4" s="22">
        <v>0.0</v>
      </c>
      <c r="K4" s="13">
        <v>0.65</v>
      </c>
      <c r="L4" s="22">
        <v>0.0</v>
      </c>
      <c r="M4" s="18">
        <f t="shared" ref="M4:M19" si="1">L4/$F4</f>
        <v>0</v>
      </c>
      <c r="N4" s="22">
        <v>0.0</v>
      </c>
      <c r="O4" s="18">
        <f t="shared" ref="O4:O19" si="2">N4/$F4</f>
        <v>0</v>
      </c>
      <c r="P4" s="22">
        <v>0.0</v>
      </c>
      <c r="Q4" s="18">
        <f t="shared" ref="Q4:Q19" si="3">P4/$F4</f>
        <v>0</v>
      </c>
    </row>
    <row r="5">
      <c r="A5" s="21">
        <v>45784.0</v>
      </c>
      <c r="B5" s="3" t="s">
        <v>124</v>
      </c>
      <c r="C5" s="10">
        <v>5.0</v>
      </c>
      <c r="D5" s="3" t="s">
        <v>125</v>
      </c>
      <c r="E5" s="14">
        <v>189.0</v>
      </c>
      <c r="F5" s="10">
        <v>8.0</v>
      </c>
      <c r="G5" s="3">
        <v>11.0</v>
      </c>
      <c r="H5" s="22">
        <v>0.0</v>
      </c>
      <c r="I5" s="18">
        <f>H5/$F5</f>
        <v>0</v>
      </c>
      <c r="J5" s="22">
        <v>0.0</v>
      </c>
      <c r="K5" s="18">
        <f t="shared" ref="K5:K19" si="4">J5/$F5</f>
        <v>0</v>
      </c>
      <c r="L5" s="22">
        <v>0.0</v>
      </c>
      <c r="M5" s="18">
        <f t="shared" si="1"/>
        <v>0</v>
      </c>
      <c r="N5" s="22">
        <v>0.0</v>
      </c>
      <c r="O5" s="18">
        <f t="shared" si="2"/>
        <v>0</v>
      </c>
      <c r="P5" s="22">
        <v>0.0</v>
      </c>
      <c r="Q5" s="18">
        <f t="shared" si="3"/>
        <v>0</v>
      </c>
    </row>
    <row r="6">
      <c r="A6" s="21">
        <v>45784.0</v>
      </c>
      <c r="B6" s="3" t="s">
        <v>124</v>
      </c>
      <c r="C6" s="10">
        <v>4.0</v>
      </c>
      <c r="D6" s="3" t="s">
        <v>123</v>
      </c>
      <c r="E6" s="14">
        <v>135.0</v>
      </c>
      <c r="F6" s="10">
        <v>12.0</v>
      </c>
      <c r="G6" s="3">
        <v>11.0</v>
      </c>
      <c r="H6" s="22">
        <v>0.0</v>
      </c>
      <c r="I6" s="13">
        <v>0.6</v>
      </c>
      <c r="J6" s="22">
        <v>0.0</v>
      </c>
      <c r="K6" s="18">
        <f t="shared" si="4"/>
        <v>0</v>
      </c>
      <c r="L6" s="22">
        <v>0.0</v>
      </c>
      <c r="M6" s="18">
        <f t="shared" si="1"/>
        <v>0</v>
      </c>
      <c r="N6" s="22">
        <v>0.0</v>
      </c>
      <c r="O6" s="18">
        <f t="shared" si="2"/>
        <v>0</v>
      </c>
      <c r="P6" s="22">
        <v>0.0</v>
      </c>
      <c r="Q6" s="18">
        <f t="shared" si="3"/>
        <v>0</v>
      </c>
    </row>
    <row r="7">
      <c r="A7" s="23">
        <v>45784.0</v>
      </c>
      <c r="B7" s="24" t="s">
        <v>126</v>
      </c>
      <c r="C7" s="25">
        <v>5.0</v>
      </c>
      <c r="D7" s="24" t="s">
        <v>123</v>
      </c>
      <c r="E7" s="26">
        <v>275.0</v>
      </c>
      <c r="F7" s="24">
        <v>15.0</v>
      </c>
      <c r="G7" s="24">
        <v>11.0</v>
      </c>
      <c r="H7" s="24">
        <v>8.0</v>
      </c>
      <c r="I7" s="27">
        <v>0.6</v>
      </c>
      <c r="J7" s="24">
        <v>10.0</v>
      </c>
      <c r="K7" s="28">
        <f t="shared" si="4"/>
        <v>0.6666666667</v>
      </c>
      <c r="L7" s="25">
        <v>8.0</v>
      </c>
      <c r="M7" s="28">
        <f t="shared" si="1"/>
        <v>0.5333333333</v>
      </c>
      <c r="N7" s="25">
        <v>10.0</v>
      </c>
      <c r="O7" s="28">
        <f t="shared" si="2"/>
        <v>0.6666666667</v>
      </c>
      <c r="P7" s="25">
        <v>12.0</v>
      </c>
      <c r="Q7" s="28">
        <f t="shared" si="3"/>
        <v>0.8</v>
      </c>
      <c r="R7" s="29"/>
      <c r="S7" s="29"/>
      <c r="T7" s="29"/>
      <c r="U7" s="29"/>
      <c r="V7" s="29"/>
      <c r="W7" s="29"/>
      <c r="X7" s="29"/>
      <c r="Y7" s="29"/>
      <c r="Z7" s="29"/>
    </row>
    <row r="8">
      <c r="A8" s="23">
        <v>45784.0</v>
      </c>
      <c r="B8" s="24" t="s">
        <v>126</v>
      </c>
      <c r="C8" s="25">
        <v>5.0</v>
      </c>
      <c r="D8" s="24" t="s">
        <v>125</v>
      </c>
      <c r="E8" s="26">
        <v>295.0</v>
      </c>
      <c r="F8" s="24">
        <v>12.0</v>
      </c>
      <c r="G8" s="24">
        <v>11.0</v>
      </c>
      <c r="H8" s="24">
        <v>7.0</v>
      </c>
      <c r="I8" s="28">
        <f>H8/$F8</f>
        <v>0.5833333333</v>
      </c>
      <c r="J8" s="24">
        <v>7.0</v>
      </c>
      <c r="K8" s="28">
        <f t="shared" si="4"/>
        <v>0.5833333333</v>
      </c>
      <c r="L8" s="25">
        <v>6.0</v>
      </c>
      <c r="M8" s="28">
        <f t="shared" si="1"/>
        <v>0.5</v>
      </c>
      <c r="N8" s="25">
        <v>7.0</v>
      </c>
      <c r="O8" s="28">
        <f t="shared" si="2"/>
        <v>0.5833333333</v>
      </c>
      <c r="P8" s="25">
        <v>8.0</v>
      </c>
      <c r="Q8" s="28">
        <f t="shared" si="3"/>
        <v>0.6666666667</v>
      </c>
      <c r="R8" s="29"/>
      <c r="S8" s="29"/>
      <c r="T8" s="29"/>
      <c r="U8" s="29"/>
      <c r="V8" s="29"/>
      <c r="W8" s="29"/>
      <c r="X8" s="29"/>
      <c r="Y8" s="29"/>
      <c r="Z8" s="29"/>
    </row>
    <row r="9">
      <c r="A9" s="21">
        <v>45881.0</v>
      </c>
      <c r="B9" s="3" t="s">
        <v>124</v>
      </c>
      <c r="C9" s="10">
        <v>5.0</v>
      </c>
      <c r="D9" s="3" t="s">
        <v>123</v>
      </c>
      <c r="E9" s="14">
        <v>159.0</v>
      </c>
      <c r="F9" s="10">
        <v>12.0</v>
      </c>
      <c r="G9" s="3">
        <v>11.0</v>
      </c>
      <c r="H9" s="22">
        <v>0.0</v>
      </c>
      <c r="I9" s="13">
        <v>0.6</v>
      </c>
      <c r="J9" s="22">
        <v>0.0</v>
      </c>
      <c r="K9" s="18">
        <f t="shared" si="4"/>
        <v>0</v>
      </c>
      <c r="L9" s="22">
        <v>0.0</v>
      </c>
      <c r="M9" s="18">
        <f t="shared" si="1"/>
        <v>0</v>
      </c>
      <c r="N9" s="22">
        <v>0.0</v>
      </c>
      <c r="O9" s="18">
        <f t="shared" si="2"/>
        <v>0</v>
      </c>
      <c r="P9" s="22">
        <v>0.0</v>
      </c>
      <c r="Q9" s="18">
        <f t="shared" si="3"/>
        <v>0</v>
      </c>
    </row>
    <row r="10">
      <c r="A10" s="21">
        <v>45881.0</v>
      </c>
      <c r="B10" s="3" t="s">
        <v>124</v>
      </c>
      <c r="C10" s="10">
        <v>5.0</v>
      </c>
      <c r="D10" s="3" t="s">
        <v>125</v>
      </c>
      <c r="E10" s="14">
        <v>189.0</v>
      </c>
      <c r="F10" s="10">
        <v>8.0</v>
      </c>
      <c r="G10" s="3">
        <v>11.0</v>
      </c>
      <c r="H10" s="22">
        <v>0.0</v>
      </c>
      <c r="I10" s="18">
        <f>H10/$F10</f>
        <v>0</v>
      </c>
      <c r="J10" s="22">
        <v>0.0</v>
      </c>
      <c r="K10" s="18">
        <f t="shared" si="4"/>
        <v>0</v>
      </c>
      <c r="L10" s="22">
        <v>0.0</v>
      </c>
      <c r="M10" s="18">
        <f t="shared" si="1"/>
        <v>0</v>
      </c>
      <c r="N10" s="22">
        <v>0.0</v>
      </c>
      <c r="O10" s="18">
        <f t="shared" si="2"/>
        <v>0</v>
      </c>
      <c r="P10" s="22">
        <v>0.0</v>
      </c>
      <c r="Q10" s="18">
        <f t="shared" si="3"/>
        <v>0</v>
      </c>
    </row>
    <row r="11">
      <c r="A11" s="21">
        <v>45881.0</v>
      </c>
      <c r="B11" s="3" t="s">
        <v>124</v>
      </c>
      <c r="C11" s="10">
        <v>4.0</v>
      </c>
      <c r="D11" s="3" t="s">
        <v>123</v>
      </c>
      <c r="E11" s="14">
        <v>135.0</v>
      </c>
      <c r="F11" s="10">
        <v>12.0</v>
      </c>
      <c r="G11" s="3">
        <v>11.0</v>
      </c>
      <c r="H11" s="22">
        <v>0.0</v>
      </c>
      <c r="I11" s="13">
        <v>0.6</v>
      </c>
      <c r="J11" s="22">
        <v>0.0</v>
      </c>
      <c r="K11" s="18">
        <f t="shared" si="4"/>
        <v>0</v>
      </c>
      <c r="L11" s="22">
        <v>0.0</v>
      </c>
      <c r="M11" s="18">
        <f t="shared" si="1"/>
        <v>0</v>
      </c>
      <c r="N11" s="22">
        <v>0.0</v>
      </c>
      <c r="O11" s="18">
        <f t="shared" si="2"/>
        <v>0</v>
      </c>
      <c r="P11" s="22">
        <v>0.0</v>
      </c>
      <c r="Q11" s="18">
        <f t="shared" si="3"/>
        <v>0</v>
      </c>
    </row>
    <row r="12">
      <c r="A12" s="30">
        <v>45881.0</v>
      </c>
      <c r="B12" s="31" t="s">
        <v>126</v>
      </c>
      <c r="C12" s="32">
        <v>5.0</v>
      </c>
      <c r="D12" s="31" t="s">
        <v>123</v>
      </c>
      <c r="E12" s="33">
        <v>275.0</v>
      </c>
      <c r="F12" s="31">
        <v>15.0</v>
      </c>
      <c r="G12" s="31">
        <v>11.0</v>
      </c>
      <c r="H12" s="31">
        <v>8.0</v>
      </c>
      <c r="I12" s="34">
        <v>0.6</v>
      </c>
      <c r="J12" s="31">
        <v>10.0</v>
      </c>
      <c r="K12" s="35">
        <f t="shared" si="4"/>
        <v>0.6666666667</v>
      </c>
      <c r="L12" s="32">
        <v>8.0</v>
      </c>
      <c r="M12" s="35">
        <f t="shared" si="1"/>
        <v>0.5333333333</v>
      </c>
      <c r="N12" s="32">
        <v>10.0</v>
      </c>
      <c r="O12" s="35">
        <f t="shared" si="2"/>
        <v>0.6666666667</v>
      </c>
      <c r="P12" s="32">
        <v>12.0</v>
      </c>
      <c r="Q12" s="35">
        <f t="shared" si="3"/>
        <v>0.8</v>
      </c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0">
        <v>45881.0</v>
      </c>
      <c r="B13" s="31" t="s">
        <v>126</v>
      </c>
      <c r="C13" s="32">
        <v>5.0</v>
      </c>
      <c r="D13" s="31" t="s">
        <v>125</v>
      </c>
      <c r="E13" s="33">
        <v>295.0</v>
      </c>
      <c r="F13" s="31">
        <v>6.0</v>
      </c>
      <c r="G13" s="31">
        <v>11.0</v>
      </c>
      <c r="H13" s="31">
        <v>0.0</v>
      </c>
      <c r="I13" s="35">
        <f>H13/$F13</f>
        <v>0</v>
      </c>
      <c r="J13" s="32">
        <v>5.0</v>
      </c>
      <c r="K13" s="35">
        <f t="shared" si="4"/>
        <v>0.8333333333</v>
      </c>
      <c r="L13" s="32">
        <v>6.0</v>
      </c>
      <c r="M13" s="35">
        <f t="shared" si="1"/>
        <v>1</v>
      </c>
      <c r="N13" s="32">
        <v>7.0</v>
      </c>
      <c r="O13" s="35">
        <f t="shared" si="2"/>
        <v>1.166666667</v>
      </c>
      <c r="P13" s="32">
        <v>8.0</v>
      </c>
      <c r="Q13" s="35">
        <f t="shared" si="3"/>
        <v>1.333333333</v>
      </c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3">
        <v>45881.0</v>
      </c>
      <c r="B14" s="24" t="s">
        <v>126</v>
      </c>
      <c r="C14" s="25">
        <v>4.0</v>
      </c>
      <c r="D14" s="24" t="s">
        <v>123</v>
      </c>
      <c r="E14" s="26">
        <v>234.0</v>
      </c>
      <c r="F14" s="24">
        <v>15.0</v>
      </c>
      <c r="G14" s="24">
        <v>11.0</v>
      </c>
      <c r="H14" s="24">
        <v>8.0</v>
      </c>
      <c r="I14" s="27">
        <v>0.6</v>
      </c>
      <c r="J14" s="24">
        <v>10.0</v>
      </c>
      <c r="K14" s="28">
        <f t="shared" si="4"/>
        <v>0.6666666667</v>
      </c>
      <c r="L14" s="25">
        <v>8.0</v>
      </c>
      <c r="M14" s="28">
        <f t="shared" si="1"/>
        <v>0.5333333333</v>
      </c>
      <c r="N14" s="25">
        <v>10.0</v>
      </c>
      <c r="O14" s="28">
        <f t="shared" si="2"/>
        <v>0.6666666667</v>
      </c>
      <c r="P14" s="25">
        <v>12.0</v>
      </c>
      <c r="Q14" s="28">
        <f t="shared" si="3"/>
        <v>0.8</v>
      </c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1">
        <v>46007.0</v>
      </c>
      <c r="B15" s="3" t="s">
        <v>124</v>
      </c>
      <c r="C15" s="10">
        <v>5.0</v>
      </c>
      <c r="D15" s="3" t="s">
        <v>123</v>
      </c>
      <c r="E15" s="14">
        <v>159.0</v>
      </c>
      <c r="F15" s="10">
        <v>15.0</v>
      </c>
      <c r="G15" s="3">
        <v>11.0</v>
      </c>
      <c r="H15" s="22">
        <v>0.0</v>
      </c>
      <c r="I15" s="13">
        <v>0.6</v>
      </c>
      <c r="J15" s="22">
        <v>0.0</v>
      </c>
      <c r="K15" s="18">
        <f t="shared" si="4"/>
        <v>0</v>
      </c>
      <c r="L15" s="22">
        <v>0.0</v>
      </c>
      <c r="M15" s="18">
        <f t="shared" si="1"/>
        <v>0</v>
      </c>
      <c r="N15" s="22">
        <v>0.0</v>
      </c>
      <c r="O15" s="18">
        <f t="shared" si="2"/>
        <v>0</v>
      </c>
      <c r="P15" s="22">
        <v>0.0</v>
      </c>
      <c r="Q15" s="18">
        <f t="shared" si="3"/>
        <v>0</v>
      </c>
    </row>
    <row r="16">
      <c r="A16" s="21">
        <v>46007.0</v>
      </c>
      <c r="B16" s="3" t="s">
        <v>124</v>
      </c>
      <c r="C16" s="10">
        <v>5.0</v>
      </c>
      <c r="D16" s="3" t="s">
        <v>125</v>
      </c>
      <c r="E16" s="14">
        <v>189.0</v>
      </c>
      <c r="F16" s="10">
        <v>10.0</v>
      </c>
      <c r="G16" s="3">
        <v>11.0</v>
      </c>
      <c r="H16" s="22">
        <v>0.0</v>
      </c>
      <c r="I16" s="18">
        <f>H16/$F16</f>
        <v>0</v>
      </c>
      <c r="J16" s="22">
        <v>0.0</v>
      </c>
      <c r="K16" s="18">
        <f t="shared" si="4"/>
        <v>0</v>
      </c>
      <c r="L16" s="22">
        <v>0.0</v>
      </c>
      <c r="M16" s="18">
        <f t="shared" si="1"/>
        <v>0</v>
      </c>
      <c r="N16" s="22">
        <v>0.0</v>
      </c>
      <c r="O16" s="18">
        <f t="shared" si="2"/>
        <v>0</v>
      </c>
      <c r="P16" s="22">
        <v>0.0</v>
      </c>
      <c r="Q16" s="18">
        <f t="shared" si="3"/>
        <v>0</v>
      </c>
    </row>
    <row r="17">
      <c r="A17" s="23">
        <v>46007.0</v>
      </c>
      <c r="B17" s="24" t="s">
        <v>126</v>
      </c>
      <c r="C17" s="25">
        <v>5.0</v>
      </c>
      <c r="D17" s="24" t="s">
        <v>123</v>
      </c>
      <c r="E17" s="26">
        <v>275.0</v>
      </c>
      <c r="F17" s="25">
        <v>15.0</v>
      </c>
      <c r="G17" s="24">
        <v>11.0</v>
      </c>
      <c r="H17" s="25">
        <v>8.0</v>
      </c>
      <c r="I17" s="27">
        <v>0.6</v>
      </c>
      <c r="J17" s="24">
        <v>12.0</v>
      </c>
      <c r="K17" s="28">
        <f t="shared" si="4"/>
        <v>0.8</v>
      </c>
      <c r="L17" s="25">
        <v>12.0</v>
      </c>
      <c r="M17" s="28">
        <f t="shared" si="1"/>
        <v>0.8</v>
      </c>
      <c r="N17" s="25">
        <v>14.0</v>
      </c>
      <c r="O17" s="28">
        <f t="shared" si="2"/>
        <v>0.9333333333</v>
      </c>
      <c r="P17" s="25">
        <v>15.0</v>
      </c>
      <c r="Q17" s="28">
        <f t="shared" si="3"/>
        <v>1</v>
      </c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3">
        <v>46007.0</v>
      </c>
      <c r="B18" s="24" t="s">
        <v>126</v>
      </c>
      <c r="C18" s="25">
        <v>5.0</v>
      </c>
      <c r="D18" s="24" t="s">
        <v>125</v>
      </c>
      <c r="E18" s="26">
        <v>295.0</v>
      </c>
      <c r="F18" s="24">
        <v>6.0</v>
      </c>
      <c r="G18" s="24">
        <v>11.0</v>
      </c>
      <c r="H18" s="24">
        <v>4.0</v>
      </c>
      <c r="I18" s="28">
        <f t="shared" ref="I18:I19" si="5">H18/$F18</f>
        <v>0.6666666667</v>
      </c>
      <c r="J18" s="24">
        <v>8.0</v>
      </c>
      <c r="K18" s="28">
        <f t="shared" si="4"/>
        <v>1.333333333</v>
      </c>
      <c r="L18" s="25">
        <v>7.0</v>
      </c>
      <c r="M18" s="28">
        <f t="shared" si="1"/>
        <v>1.166666667</v>
      </c>
      <c r="N18" s="25">
        <v>8.0</v>
      </c>
      <c r="O18" s="28">
        <f t="shared" si="2"/>
        <v>1.333333333</v>
      </c>
      <c r="P18" s="25">
        <v>10.0</v>
      </c>
      <c r="Q18" s="28">
        <f t="shared" si="3"/>
        <v>1.666666667</v>
      </c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7" t="s">
        <v>127</v>
      </c>
      <c r="B19" s="37" t="s">
        <v>128</v>
      </c>
      <c r="C19" s="38">
        <v>5.0</v>
      </c>
      <c r="D19" s="37" t="s">
        <v>129</v>
      </c>
      <c r="E19" s="39">
        <v>50.0</v>
      </c>
      <c r="F19" s="38">
        <v>20.0</v>
      </c>
      <c r="G19" s="37">
        <v>11.0</v>
      </c>
      <c r="H19" s="38">
        <v>10.0</v>
      </c>
      <c r="I19" s="40">
        <f t="shared" si="5"/>
        <v>0.5</v>
      </c>
      <c r="J19" s="37">
        <v>15.0</v>
      </c>
      <c r="K19" s="40">
        <f t="shared" si="4"/>
        <v>0.75</v>
      </c>
      <c r="L19" s="38">
        <v>14.0</v>
      </c>
      <c r="M19" s="40">
        <f t="shared" si="1"/>
        <v>0.7</v>
      </c>
      <c r="N19" s="38">
        <v>17.0</v>
      </c>
      <c r="O19" s="40">
        <f t="shared" si="2"/>
        <v>0.85</v>
      </c>
      <c r="P19" s="38">
        <v>20.0</v>
      </c>
      <c r="Q19" s="40">
        <f t="shared" si="3"/>
        <v>1</v>
      </c>
      <c r="R19" s="41"/>
      <c r="S19" s="41"/>
      <c r="T19" s="41"/>
      <c r="U19" s="41"/>
      <c r="V19" s="41"/>
      <c r="W19" s="41"/>
      <c r="X19" s="41"/>
      <c r="Y19" s="41"/>
      <c r="Z19" s="41"/>
    </row>
    <row r="21">
      <c r="A21" s="7" t="s">
        <v>110</v>
      </c>
    </row>
    <row r="22">
      <c r="A22" s="3" t="s">
        <v>130</v>
      </c>
    </row>
    <row r="23">
      <c r="A23" s="3" t="s">
        <v>112</v>
      </c>
    </row>
    <row r="24">
      <c r="A24" s="3" t="s">
        <v>113</v>
      </c>
    </row>
    <row r="25">
      <c r="A25" s="3" t="s">
        <v>131</v>
      </c>
    </row>
  </sheetData>
  <mergeCells count="1">
    <mergeCell ref="A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1.38"/>
    <col customWidth="1" min="3" max="3" width="10.13"/>
    <col customWidth="1" min="4" max="5" width="12.63"/>
  </cols>
  <sheetData>
    <row r="1">
      <c r="A1" s="42" t="s">
        <v>132</v>
      </c>
    </row>
    <row r="3">
      <c r="A3" s="43" t="s">
        <v>77</v>
      </c>
      <c r="B3" s="43" t="s">
        <v>133</v>
      </c>
      <c r="C3" s="43" t="s">
        <v>134</v>
      </c>
      <c r="D3" s="43" t="s">
        <v>135</v>
      </c>
      <c r="E3" s="43" t="s">
        <v>136</v>
      </c>
    </row>
    <row r="4">
      <c r="A4" s="7" t="s">
        <v>137</v>
      </c>
      <c r="B4" s="44"/>
      <c r="C4" s="44"/>
      <c r="D4" s="44"/>
      <c r="E4" s="44"/>
    </row>
    <row r="5">
      <c r="B5" s="3" t="s">
        <v>138</v>
      </c>
      <c r="C5" s="10">
        <v>100.0</v>
      </c>
      <c r="D5" s="6">
        <v>3.5</v>
      </c>
      <c r="E5" s="45">
        <f t="shared" ref="E5:E8" si="1">C5*D5</f>
        <v>350</v>
      </c>
    </row>
    <row r="6">
      <c r="B6" s="3" t="s">
        <v>139</v>
      </c>
      <c r="C6" s="10">
        <v>100.0</v>
      </c>
      <c r="D6" s="6">
        <v>5.0</v>
      </c>
      <c r="E6" s="45">
        <f t="shared" si="1"/>
        <v>500</v>
      </c>
    </row>
    <row r="7">
      <c r="B7" s="3" t="s">
        <v>140</v>
      </c>
      <c r="C7" s="3">
        <v>50.0</v>
      </c>
      <c r="D7" s="6">
        <v>8.5</v>
      </c>
      <c r="E7" s="45">
        <f t="shared" si="1"/>
        <v>425</v>
      </c>
    </row>
    <row r="8">
      <c r="B8" s="3" t="s">
        <v>141</v>
      </c>
      <c r="C8" s="3">
        <v>0.0</v>
      </c>
      <c r="D8" s="6">
        <v>11.0</v>
      </c>
      <c r="E8" s="45">
        <f t="shared" si="1"/>
        <v>0</v>
      </c>
    </row>
    <row r="9">
      <c r="A9" s="46"/>
      <c r="B9" s="47" t="s">
        <v>142</v>
      </c>
      <c r="C9" s="46"/>
      <c r="D9" s="48"/>
      <c r="E9" s="48">
        <f>SUM(E5:E8)</f>
        <v>1275</v>
      </c>
    </row>
    <row r="10">
      <c r="D10" s="45"/>
      <c r="E10" s="45"/>
    </row>
    <row r="11">
      <c r="A11" s="7" t="s">
        <v>143</v>
      </c>
      <c r="B11" s="44"/>
      <c r="C11" s="44"/>
      <c r="D11" s="49"/>
      <c r="E11" s="49"/>
    </row>
    <row r="12">
      <c r="B12" s="3" t="s">
        <v>144</v>
      </c>
      <c r="C12" s="10">
        <v>10.0</v>
      </c>
      <c r="D12" s="6">
        <v>25.0</v>
      </c>
      <c r="E12" s="45">
        <f t="shared" ref="E12:E15" si="2">C12*D12</f>
        <v>250</v>
      </c>
    </row>
    <row r="13">
      <c r="B13" s="3" t="s">
        <v>145</v>
      </c>
      <c r="C13" s="10">
        <v>20.0</v>
      </c>
      <c r="D13" s="6">
        <v>18.0</v>
      </c>
      <c r="E13" s="45">
        <f t="shared" si="2"/>
        <v>360</v>
      </c>
    </row>
    <row r="14">
      <c r="B14" s="3" t="s">
        <v>146</v>
      </c>
      <c r="C14" s="10">
        <v>15.0</v>
      </c>
      <c r="D14" s="6">
        <v>22.0</v>
      </c>
      <c r="E14" s="45">
        <f t="shared" si="2"/>
        <v>330</v>
      </c>
    </row>
    <row r="15">
      <c r="B15" s="3" t="s">
        <v>147</v>
      </c>
      <c r="C15" s="3">
        <v>20.0</v>
      </c>
      <c r="D15" s="6">
        <v>15.0</v>
      </c>
      <c r="E15" s="45">
        <f t="shared" si="2"/>
        <v>300</v>
      </c>
    </row>
    <row r="16">
      <c r="A16" s="46"/>
      <c r="B16" s="47" t="s">
        <v>148</v>
      </c>
      <c r="C16" s="46"/>
      <c r="D16" s="48"/>
      <c r="E16" s="48">
        <f>SUM(E12:E15)</f>
        <v>1240</v>
      </c>
    </row>
    <row r="17">
      <c r="D17" s="45"/>
      <c r="E17" s="45"/>
    </row>
    <row r="18">
      <c r="A18" s="7" t="s">
        <v>149</v>
      </c>
      <c r="B18" s="44"/>
      <c r="C18" s="44"/>
      <c r="D18" s="49"/>
      <c r="E18" s="49"/>
    </row>
    <row r="19">
      <c r="B19" s="3" t="s">
        <v>150</v>
      </c>
      <c r="C19" s="10">
        <v>50.0</v>
      </c>
      <c r="D19" s="6">
        <v>28.0</v>
      </c>
      <c r="E19" s="45">
        <f t="shared" ref="E19:E22" si="3">C19*D19</f>
        <v>1400</v>
      </c>
    </row>
    <row r="20">
      <c r="B20" s="3" t="s">
        <v>151</v>
      </c>
      <c r="C20" s="10">
        <v>40.0</v>
      </c>
      <c r="D20" s="6">
        <v>12.0</v>
      </c>
      <c r="E20" s="45">
        <f t="shared" si="3"/>
        <v>480</v>
      </c>
    </row>
    <row r="21">
      <c r="B21" s="3" t="s">
        <v>152</v>
      </c>
      <c r="C21" s="10">
        <v>50.0</v>
      </c>
      <c r="D21" s="6">
        <v>15.0</v>
      </c>
      <c r="E21" s="45">
        <f t="shared" si="3"/>
        <v>750</v>
      </c>
    </row>
    <row r="22">
      <c r="B22" s="3" t="s">
        <v>153</v>
      </c>
      <c r="C22" s="10">
        <v>20.0</v>
      </c>
      <c r="D22" s="6">
        <v>45.0</v>
      </c>
      <c r="E22" s="45">
        <f t="shared" si="3"/>
        <v>900</v>
      </c>
    </row>
    <row r="23">
      <c r="A23" s="46"/>
      <c r="B23" s="47" t="s">
        <v>154</v>
      </c>
      <c r="C23" s="46"/>
      <c r="D23" s="48"/>
      <c r="E23" s="48">
        <f>SUM(E19:E22)</f>
        <v>3530</v>
      </c>
    </row>
    <row r="24">
      <c r="D24" s="45"/>
      <c r="E24" s="45"/>
    </row>
    <row r="25">
      <c r="A25" s="7" t="s">
        <v>155</v>
      </c>
      <c r="B25" s="44"/>
      <c r="C25" s="44"/>
      <c r="D25" s="49"/>
      <c r="E25" s="49"/>
    </row>
    <row r="26">
      <c r="B26" s="3" t="s">
        <v>156</v>
      </c>
      <c r="C26" s="3">
        <v>40.0</v>
      </c>
      <c r="D26" s="6">
        <v>12.0</v>
      </c>
      <c r="E26" s="45">
        <f t="shared" ref="E26:E28" si="4">C26*D26</f>
        <v>480</v>
      </c>
    </row>
    <row r="27">
      <c r="B27" s="3" t="s">
        <v>157</v>
      </c>
      <c r="C27" s="10">
        <v>40.0</v>
      </c>
      <c r="D27" s="6">
        <v>8.0</v>
      </c>
      <c r="E27" s="45">
        <f t="shared" si="4"/>
        <v>320</v>
      </c>
    </row>
    <row r="28">
      <c r="B28" s="3" t="s">
        <v>158</v>
      </c>
      <c r="C28" s="10">
        <v>10.0</v>
      </c>
      <c r="D28" s="6">
        <v>15.0</v>
      </c>
      <c r="E28" s="45">
        <f t="shared" si="4"/>
        <v>150</v>
      </c>
    </row>
    <row r="29">
      <c r="A29" s="46"/>
      <c r="B29" s="47" t="s">
        <v>159</v>
      </c>
      <c r="C29" s="46"/>
      <c r="D29" s="48"/>
      <c r="E29" s="48">
        <f>SUM(E26:E28)</f>
        <v>950</v>
      </c>
    </row>
    <row r="30">
      <c r="D30" s="45"/>
      <c r="E30" s="45"/>
    </row>
    <row r="31">
      <c r="A31" s="7" t="s">
        <v>160</v>
      </c>
      <c r="B31" s="44"/>
      <c r="C31" s="44"/>
      <c r="D31" s="49"/>
      <c r="E31" s="49"/>
    </row>
    <row r="32">
      <c r="B32" s="3" t="s">
        <v>161</v>
      </c>
      <c r="C32" s="3">
        <v>75.0</v>
      </c>
      <c r="D32" s="6">
        <v>8.0</v>
      </c>
      <c r="E32" s="45">
        <f t="shared" ref="E32:E36" si="5">C32*D32</f>
        <v>600</v>
      </c>
    </row>
    <row r="33">
      <c r="B33" s="3" t="s">
        <v>162</v>
      </c>
      <c r="C33" s="10">
        <v>75.0</v>
      </c>
      <c r="D33" s="6">
        <v>12.0</v>
      </c>
      <c r="E33" s="45">
        <f t="shared" si="5"/>
        <v>900</v>
      </c>
    </row>
    <row r="34">
      <c r="B34" s="3" t="s">
        <v>163</v>
      </c>
      <c r="C34" s="10">
        <v>50.0</v>
      </c>
      <c r="D34" s="6">
        <v>10.0</v>
      </c>
      <c r="E34" s="45">
        <f t="shared" si="5"/>
        <v>500</v>
      </c>
    </row>
    <row r="35">
      <c r="B35" s="3" t="s">
        <v>164</v>
      </c>
      <c r="C35" s="10">
        <v>50.0</v>
      </c>
      <c r="D35" s="6">
        <v>18.0</v>
      </c>
      <c r="E35" s="45">
        <f t="shared" si="5"/>
        <v>900</v>
      </c>
    </row>
    <row r="36">
      <c r="B36" s="3" t="s">
        <v>165</v>
      </c>
      <c r="C36" s="3">
        <v>100.0</v>
      </c>
      <c r="D36" s="6">
        <v>1.5</v>
      </c>
      <c r="E36" s="45">
        <f t="shared" si="5"/>
        <v>150</v>
      </c>
    </row>
    <row r="37">
      <c r="A37" s="46"/>
      <c r="B37" s="47" t="s">
        <v>166</v>
      </c>
      <c r="C37" s="46"/>
      <c r="D37" s="48"/>
      <c r="E37" s="48">
        <f>SUM(E32:E36)</f>
        <v>3050</v>
      </c>
    </row>
    <row r="38">
      <c r="D38" s="45"/>
      <c r="E38" s="45"/>
    </row>
    <row r="39">
      <c r="A39" s="7" t="s">
        <v>167</v>
      </c>
      <c r="B39" s="44"/>
      <c r="C39" s="44"/>
      <c r="D39" s="49"/>
      <c r="E39" s="49"/>
    </row>
    <row r="40">
      <c r="B40" s="3" t="s">
        <v>168</v>
      </c>
      <c r="C40" s="3">
        <v>75.0</v>
      </c>
      <c r="D40" s="6">
        <v>8.0</v>
      </c>
      <c r="E40" s="45">
        <f t="shared" ref="E40:E42" si="6">C40*D40</f>
        <v>600</v>
      </c>
    </row>
    <row r="41">
      <c r="B41" s="3" t="s">
        <v>169</v>
      </c>
      <c r="C41" s="10">
        <v>75.0</v>
      </c>
      <c r="D41" s="6">
        <v>6.0</v>
      </c>
      <c r="E41" s="45">
        <f t="shared" si="6"/>
        <v>450</v>
      </c>
    </row>
    <row r="42">
      <c r="B42" s="3" t="s">
        <v>170</v>
      </c>
      <c r="C42" s="10">
        <v>40.0</v>
      </c>
      <c r="D42" s="6">
        <v>8.0</v>
      </c>
      <c r="E42" s="45">
        <f t="shared" si="6"/>
        <v>320</v>
      </c>
    </row>
    <row r="43">
      <c r="A43" s="46"/>
      <c r="B43" s="47" t="s">
        <v>171</v>
      </c>
      <c r="C43" s="46"/>
      <c r="D43" s="48"/>
      <c r="E43" s="48">
        <f>SUM(E40:E42)</f>
        <v>1370</v>
      </c>
    </row>
    <row r="44">
      <c r="D44" s="45"/>
      <c r="E44" s="45"/>
    </row>
    <row r="45">
      <c r="A45" s="7" t="s">
        <v>172</v>
      </c>
      <c r="B45" s="44"/>
      <c r="C45" s="44"/>
      <c r="D45" s="49"/>
      <c r="E45" s="49"/>
    </row>
    <row r="46">
      <c r="B46" s="3" t="s">
        <v>173</v>
      </c>
      <c r="C46" s="3">
        <v>100.0</v>
      </c>
      <c r="D46" s="6">
        <v>12.5</v>
      </c>
      <c r="E46" s="45">
        <f t="shared" ref="E46:E50" si="7">C46*D46</f>
        <v>1250</v>
      </c>
    </row>
    <row r="47">
      <c r="B47" s="3" t="s">
        <v>174</v>
      </c>
      <c r="C47" s="3">
        <v>75.0</v>
      </c>
      <c r="D47" s="6">
        <v>12.0</v>
      </c>
      <c r="E47" s="45">
        <f t="shared" si="7"/>
        <v>900</v>
      </c>
    </row>
    <row r="48">
      <c r="B48" s="3" t="s">
        <v>175</v>
      </c>
      <c r="C48" s="10">
        <v>50.0</v>
      </c>
      <c r="D48" s="6">
        <v>15.0</v>
      </c>
      <c r="E48" s="45">
        <f t="shared" si="7"/>
        <v>750</v>
      </c>
    </row>
    <row r="49">
      <c r="B49" s="3" t="s">
        <v>176</v>
      </c>
      <c r="C49" s="10">
        <v>25.0</v>
      </c>
      <c r="D49" s="6">
        <v>35.0</v>
      </c>
      <c r="E49" s="45">
        <f t="shared" si="7"/>
        <v>875</v>
      </c>
    </row>
    <row r="50">
      <c r="B50" s="3" t="s">
        <v>177</v>
      </c>
      <c r="C50" s="3">
        <v>25.0</v>
      </c>
      <c r="D50" s="6">
        <v>8.0</v>
      </c>
      <c r="E50" s="45">
        <f t="shared" si="7"/>
        <v>200</v>
      </c>
    </row>
    <row r="51">
      <c r="A51" s="46"/>
      <c r="B51" s="47" t="s">
        <v>178</v>
      </c>
      <c r="C51" s="46"/>
      <c r="D51" s="48"/>
      <c r="E51" s="48">
        <f>SUM(E46:E50)</f>
        <v>3975</v>
      </c>
    </row>
    <row r="52">
      <c r="D52" s="45"/>
      <c r="E52" s="45"/>
    </row>
    <row r="53">
      <c r="A53" s="7" t="s">
        <v>179</v>
      </c>
      <c r="B53" s="44"/>
      <c r="C53" s="44"/>
      <c r="D53" s="49"/>
      <c r="E53" s="49"/>
    </row>
    <row r="54">
      <c r="B54" s="3" t="s">
        <v>180</v>
      </c>
      <c r="C54" s="3">
        <v>100.0</v>
      </c>
      <c r="D54" s="6">
        <v>2.5</v>
      </c>
      <c r="E54" s="45">
        <f t="shared" ref="E54:E60" si="8">C54*D54</f>
        <v>250</v>
      </c>
    </row>
    <row r="55">
      <c r="B55" s="3" t="s">
        <v>181</v>
      </c>
      <c r="C55" s="3">
        <v>20.0</v>
      </c>
      <c r="D55" s="6">
        <v>3.0</v>
      </c>
      <c r="E55" s="45">
        <f t="shared" si="8"/>
        <v>60</v>
      </c>
    </row>
    <row r="56">
      <c r="B56" s="3" t="s">
        <v>182</v>
      </c>
      <c r="C56" s="3">
        <v>50.0</v>
      </c>
      <c r="D56" s="6">
        <v>2.0</v>
      </c>
      <c r="E56" s="45">
        <f t="shared" si="8"/>
        <v>100</v>
      </c>
    </row>
    <row r="57">
      <c r="B57" s="3" t="s">
        <v>183</v>
      </c>
      <c r="C57" s="10">
        <v>150.0</v>
      </c>
      <c r="D57" s="6">
        <v>8.0</v>
      </c>
      <c r="E57" s="45">
        <f t="shared" si="8"/>
        <v>1200</v>
      </c>
    </row>
    <row r="58">
      <c r="B58" s="3" t="s">
        <v>184</v>
      </c>
      <c r="C58" s="10">
        <v>100.0</v>
      </c>
      <c r="D58" s="6">
        <v>5.0</v>
      </c>
      <c r="E58" s="45">
        <f t="shared" si="8"/>
        <v>500</v>
      </c>
    </row>
    <row r="59">
      <c r="B59" s="3" t="s">
        <v>185</v>
      </c>
      <c r="C59" s="10">
        <v>20.0</v>
      </c>
      <c r="D59" s="6">
        <v>10.0</v>
      </c>
      <c r="E59" s="45">
        <f t="shared" si="8"/>
        <v>200</v>
      </c>
    </row>
    <row r="60">
      <c r="B60" s="3" t="s">
        <v>186</v>
      </c>
      <c r="C60" s="10">
        <v>25.0</v>
      </c>
      <c r="D60" s="6">
        <v>35.0</v>
      </c>
      <c r="E60" s="45">
        <f t="shared" si="8"/>
        <v>875</v>
      </c>
    </row>
    <row r="61">
      <c r="A61" s="46"/>
      <c r="B61" s="47" t="s">
        <v>187</v>
      </c>
      <c r="C61" s="46"/>
      <c r="D61" s="48"/>
      <c r="E61" s="48">
        <f>SUM(E54:E60)</f>
        <v>3185</v>
      </c>
    </row>
    <row r="62">
      <c r="D62" s="45"/>
      <c r="E62" s="45"/>
    </row>
    <row r="63">
      <c r="A63" s="50"/>
      <c r="B63" s="51" t="s">
        <v>188</v>
      </c>
      <c r="C63" s="50"/>
      <c r="D63" s="52"/>
      <c r="E63" s="52">
        <f>E9+E16+E23+E29+E37+E43+E51+E61</f>
        <v>18575</v>
      </c>
    </row>
    <row r="64">
      <c r="D64" s="45"/>
      <c r="E64" s="45"/>
    </row>
    <row r="66">
      <c r="A66" s="7" t="s">
        <v>189</v>
      </c>
    </row>
    <row r="67">
      <c r="A67" s="3" t="s">
        <v>190</v>
      </c>
    </row>
    <row r="68">
      <c r="A68" s="3" t="s">
        <v>191</v>
      </c>
    </row>
    <row r="69">
      <c r="A69" s="3" t="s">
        <v>192</v>
      </c>
    </row>
    <row r="70">
      <c r="A70" s="3" t="s">
        <v>193</v>
      </c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6" width="15.13"/>
  </cols>
  <sheetData>
    <row r="1">
      <c r="A1" s="15" t="s">
        <v>194</v>
      </c>
    </row>
    <row r="2">
      <c r="B2" s="11"/>
      <c r="C2" s="11"/>
      <c r="D2" s="11"/>
      <c r="E2" s="11"/>
      <c r="F2" s="11"/>
    </row>
    <row r="3">
      <c r="A3" s="16" t="s">
        <v>195</v>
      </c>
      <c r="B3" s="53" t="s">
        <v>196</v>
      </c>
      <c r="C3" s="53" t="s">
        <v>197</v>
      </c>
      <c r="D3" s="53" t="s">
        <v>198</v>
      </c>
      <c r="E3" s="53" t="s">
        <v>199</v>
      </c>
      <c r="F3" s="53" t="s">
        <v>200</v>
      </c>
    </row>
    <row r="4">
      <c r="A4" s="4" t="s">
        <v>201</v>
      </c>
    </row>
    <row r="5">
      <c r="A5" s="3" t="s">
        <v>202</v>
      </c>
      <c r="B5" s="11">
        <f>SUMPRODUCT('Class Schedule'!C4:C13,'Class Schedule'!F4:F13)*Assumptions!$B$13</f>
        <v>56082</v>
      </c>
      <c r="C5" s="11">
        <f>SUMPRODUCT('Class Schedule'!C4:C13,'Class Schedule'!H4:H13)*Assumptions!$B$14</f>
        <v>136272</v>
      </c>
      <c r="D5" s="11">
        <f>SUMPRODUCT('Class Schedule'!C4:C13,'Class Schedule'!J4:J13)*Assumptions!$B$14</f>
        <v>160380</v>
      </c>
      <c r="E5" s="11">
        <f>SUMPRODUCT('Class Schedule'!C4:C13,'Class Schedule'!L4:L13)*Assumptions!$B$14</f>
        <v>196176</v>
      </c>
      <c r="F5" s="11">
        <f>SUMPRODUCT('Class Schedule'!C4:C13,'Class Schedule'!N4:N13)*Assumptions!$B$14</f>
        <v>221940</v>
      </c>
    </row>
    <row r="6">
      <c r="A6" s="54" t="s">
        <v>203</v>
      </c>
      <c r="B6" s="11">
        <f>('Class Schedule'!C5*'Class Schedule'!F5+'Class Schedule'!C7*'Class Schedule'!F7+'Class Schedule'!C9*'Class Schedule'!F9)*Assumptions!$B$13</f>
        <v>11466</v>
      </c>
      <c r="C6" s="11">
        <f>('Class Schedule'!C5*'Class Schedule'!H5+'Class Schedule'!C7*'Class Schedule'!H7+'Class Schedule'!C9*'Class Schedule'!H9)*Assumptions!$B$14</f>
        <v>30576</v>
      </c>
      <c r="D6" s="11">
        <f>('Class Schedule'!C5*'Class Schedule'!J5+'Class Schedule'!C7*'Class Schedule'!J7+'Class Schedule'!C9*'Class Schedule'!J9)*Assumptions!$B$14</f>
        <v>38220</v>
      </c>
      <c r="E6" s="11">
        <f>('Class Schedule'!C5*'Class Schedule'!L5+'Class Schedule'!C7*'Class Schedule'!L7+'Class Schedule'!C9*'Class Schedule'!L9)*Assumptions!$B$14</f>
        <v>45864</v>
      </c>
      <c r="F6" s="11">
        <f>('Class Schedule'!C5*'Class Schedule'!N5+'Class Schedule'!C7*'Class Schedule'!N7+'Class Schedule'!C9*'Class Schedule'!N9)*Assumptions!$B$14</f>
        <v>45864</v>
      </c>
    </row>
    <row r="7">
      <c r="A7" s="3" t="s">
        <v>204</v>
      </c>
      <c r="B7" s="11">
        <f>B5*Assumptions!$B$28*0.25</f>
        <v>701.025</v>
      </c>
      <c r="C7" s="11">
        <f>C5*Assumptions!$B$28*0.25</f>
        <v>1703.4</v>
      </c>
      <c r="D7" s="11">
        <f>D5*Assumptions!$B$28*0.25</f>
        <v>2004.75</v>
      </c>
      <c r="E7" s="11">
        <f>E5*Assumptions!$B$28*0.25</f>
        <v>2452.2</v>
      </c>
      <c r="F7" s="11">
        <f>F5*Assumptions!$B$28*0.25</f>
        <v>2774.25</v>
      </c>
    </row>
    <row r="8">
      <c r="B8" s="11"/>
      <c r="C8" s="11"/>
      <c r="D8" s="11"/>
      <c r="E8" s="11"/>
      <c r="F8" s="11"/>
    </row>
    <row r="9">
      <c r="A9" s="4" t="s">
        <v>205</v>
      </c>
    </row>
    <row r="10">
      <c r="A10" s="3" t="s">
        <v>206</v>
      </c>
      <c r="B10" s="11">
        <f>SUMPRODUCT('Summer Camps'!E4:E19,'Summer Camps'!H4:H19,'Summer Camps'!G4:G19)</f>
        <v>134387</v>
      </c>
      <c r="C10" s="11">
        <f>SUMPRODUCT('Summer Camps'!E4:E19,'Summer Camps'!J4:J19,'Summer Camps'!G4:G19)</f>
        <v>195690</v>
      </c>
      <c r="D10" s="11">
        <f>SUMPRODUCT('Summer Camps'!E4:E19,'Summer Camps'!L4:L19,'Summer Camps'!G4:G19)</f>
        <v>174647</v>
      </c>
      <c r="E10" s="11">
        <f>SUMPRODUCT('Summer Camps'!E4:E19,'Summer Camps'!N4:N19,'Summer Camps'!G4:G19)</f>
        <v>209330</v>
      </c>
      <c r="F10" s="11">
        <f>SUMPRODUCT('Summer Camps'!E4:E19,'Summer Camps'!P4:P19,'Summer Camps'!G4:G19)</f>
        <v>244233</v>
      </c>
    </row>
    <row r="11">
      <c r="A11" s="54" t="s">
        <v>207</v>
      </c>
      <c r="B11" s="11">
        <f>('Summer Camps'!E5*'Summer Camps'!H5*'Summer Camps'!G5+'Summer Camps'!E6*'Summer Camps'!H6*'Summer Camps'!G6+'Summer Camps'!E8*'Summer Camps'!H8*'Summer Camps'!G8+'Summer Camps'!E10*'Summer Camps'!H10*'Summer Camps'!G10+'Summer Camps'!E14*'Summer Camps'!H14*'Summer Camps'!G14+'Summer Camps'!E16*'Summer Camps'!H16*'Summer Camps'!G16)</f>
        <v>43307</v>
      </c>
      <c r="C11" s="11">
        <f>('Summer Camps'!E5*'Summer Camps'!J5*'Summer Camps'!G5+'Summer Camps'!E6*'Summer Camps'!J6*'Summer Camps'!G6+'Summer Camps'!E8*'Summer Camps'!J8*'Summer Camps'!G8+'Summer Camps'!E10*'Summer Camps'!J10*'Summer Camps'!G10+'Summer Camps'!E14*'Summer Camps'!J14*'Summer Camps'!G14+'Summer Camps'!E16*'Summer Camps'!J16*'Summer Camps'!G16)</f>
        <v>48455</v>
      </c>
      <c r="D11" s="11">
        <f>('Summer Camps'!E5*'Summer Camps'!L5*'Summer Camps'!G5+'Summer Camps'!E6*'Summer Camps'!L6*'Summer Camps'!G6+'Summer Camps'!E8*'Summer Camps'!L8*'Summer Camps'!G8+'Summer Camps'!E10*'Summer Camps'!L10*'Summer Camps'!G10+'Summer Camps'!E14*'Summer Camps'!L14*'Summer Camps'!G14+'Summer Camps'!E16*'Summer Camps'!L16*'Summer Camps'!G16)</f>
        <v>40062</v>
      </c>
      <c r="E11" s="11">
        <f>('Summer Camps'!E5*'Summer Camps'!N5*'Summer Camps'!G5+'Summer Camps'!E6*'Summer Camps'!N6*'Summer Camps'!G6+'Summer Camps'!E8*'Summer Camps'!N8*'Summer Camps'!G8+'Summer Camps'!E10*'Summer Camps'!N10*'Summer Camps'!G10+'Summer Camps'!E14*'Summer Camps'!N14*'Summer Camps'!G14+'Summer Camps'!E16*'Summer Camps'!N16*'Summer Camps'!G16)</f>
        <v>48455</v>
      </c>
      <c r="F11" s="11">
        <f>('Summer Camps'!E5*'Summer Camps'!P5*'Summer Camps'!G5+'Summer Camps'!E6*'Summer Camps'!P6*'Summer Camps'!G6+'Summer Camps'!E8*'Summer Camps'!P8*'Summer Camps'!G8+'Summer Camps'!E10*'Summer Camps'!P10*'Summer Camps'!G10+'Summer Camps'!E14*'Summer Camps'!P14*'Summer Camps'!G14+'Summer Camps'!E16*'Summer Camps'!P16*'Summer Camps'!G16)</f>
        <v>56848</v>
      </c>
    </row>
    <row r="12">
      <c r="B12" s="11"/>
      <c r="C12" s="11"/>
      <c r="D12" s="11"/>
      <c r="E12" s="11"/>
      <c r="F12" s="11"/>
    </row>
    <row r="13">
      <c r="A13" s="4" t="s">
        <v>36</v>
      </c>
    </row>
    <row r="14">
      <c r="A14" s="3" t="s">
        <v>208</v>
      </c>
      <c r="B14" s="11">
        <f>Assumptions!$B$40*Assumptions!$B$41*Assumptions!$B$42*10</f>
        <v>88000</v>
      </c>
      <c r="C14" s="11">
        <f>Assumptions!$B$40*Assumptions!$B$41*Assumptions!$B$42*12</f>
        <v>105600</v>
      </c>
      <c r="D14" s="11">
        <f t="shared" ref="D14:D16" si="1">C14</f>
        <v>105600</v>
      </c>
      <c r="E14" s="11">
        <f t="shared" ref="E14:E16" si="2">C14</f>
        <v>105600</v>
      </c>
      <c r="F14" s="11">
        <f t="shared" ref="F14:F16" si="3">C14</f>
        <v>105600</v>
      </c>
    </row>
    <row r="15">
      <c r="A15" s="3" t="s">
        <v>209</v>
      </c>
      <c r="B15" s="11">
        <f>(Assumptions!$B$44+Assumptions!$B$45*Assumptions!$B$46)*Assumptions!$B$43*10</f>
        <v>9720</v>
      </c>
      <c r="C15" s="11">
        <f>(Assumptions!$B$44+Assumptions!$B$45*Assumptions!$B$46)*Assumptions!$B$43*12</f>
        <v>11664</v>
      </c>
      <c r="D15" s="11">
        <f t="shared" si="1"/>
        <v>11664</v>
      </c>
      <c r="E15" s="11">
        <f t="shared" si="2"/>
        <v>11664</v>
      </c>
      <c r="F15" s="11">
        <f t="shared" si="3"/>
        <v>11664</v>
      </c>
    </row>
    <row r="16">
      <c r="A16" s="3" t="s">
        <v>210</v>
      </c>
      <c r="B16" s="11">
        <f>Assumptions!$B$48*Assumptions!$B$49*Assumptions!$B$47*10</f>
        <v>22500</v>
      </c>
      <c r="C16" s="11">
        <f>Assumptions!$B$48*Assumptions!$B$49*Assumptions!$B$47*12</f>
        <v>27000</v>
      </c>
      <c r="D16" s="11">
        <f t="shared" si="1"/>
        <v>27000</v>
      </c>
      <c r="E16" s="11">
        <f t="shared" si="2"/>
        <v>27000</v>
      </c>
      <c r="F16" s="11">
        <f t="shared" si="3"/>
        <v>27000</v>
      </c>
    </row>
    <row r="17">
      <c r="B17" s="11"/>
      <c r="C17" s="11"/>
      <c r="D17" s="11"/>
      <c r="E17" s="11"/>
      <c r="F17" s="11"/>
    </row>
    <row r="18">
      <c r="A18" s="4" t="s">
        <v>47</v>
      </c>
    </row>
    <row r="19">
      <c r="A19" s="3" t="s">
        <v>211</v>
      </c>
      <c r="B19" s="11">
        <f>Assumptions!$B$40*Assumptions!$B$42*Assumptions!$B$52*(Assumptions!$B$57*0.6+Assumptions!$B$56*0.4)*10</f>
        <v>26240</v>
      </c>
      <c r="C19" s="11">
        <f>Assumptions!$B$40*Assumptions!$B$42*Assumptions!$B$52*(Assumptions!$B$57*0.6+Assumptions!$B$56*0.4)*12</f>
        <v>31488</v>
      </c>
      <c r="D19" s="11">
        <f t="shared" ref="D19:D21" si="4">C19</f>
        <v>31488</v>
      </c>
      <c r="E19" s="11">
        <f t="shared" ref="E19:E21" si="5">C19</f>
        <v>31488</v>
      </c>
      <c r="F19" s="11">
        <f t="shared" ref="F19:F21" si="6">C19</f>
        <v>31488</v>
      </c>
    </row>
    <row r="20">
      <c r="A20" s="3" t="s">
        <v>212</v>
      </c>
      <c r="B20" s="11">
        <f>Assumptions!$B$43*Assumptions!$B$46*Assumptions!$B$53*(Assumptions!$B$57*0.6+Assumptions!$B$56*0.4)*10</f>
        <v>7380</v>
      </c>
      <c r="C20" s="11">
        <f>Assumptions!$B$43*Assumptions!$B$46*Assumptions!$B$53*(Assumptions!$B$57*0.6+Assumptions!$B$56*0.4)*12</f>
        <v>8856</v>
      </c>
      <c r="D20" s="11">
        <f t="shared" si="4"/>
        <v>8856</v>
      </c>
      <c r="E20" s="11">
        <f t="shared" si="5"/>
        <v>8856</v>
      </c>
      <c r="F20" s="11">
        <f t="shared" si="6"/>
        <v>8856</v>
      </c>
    </row>
    <row r="21">
      <c r="A21" s="3" t="s">
        <v>213</v>
      </c>
      <c r="B21" s="11">
        <f>Assumptions!$B$47*Assumptions!$B$49*Assumptions!$B$54*((Assumptions!$B$55*0.5)+(Assumptions!$B$57*0.25+Assumptions!$B$56*0.25))*10</f>
        <v>2700</v>
      </c>
      <c r="C21" s="11">
        <f>Assumptions!$B$47*Assumptions!$B$49*Assumptions!$B$54*((Assumptions!$B$55*0.5)+(Assumptions!$B$57*0.25+Assumptions!$B$56*0.25))*12</f>
        <v>3240</v>
      </c>
      <c r="D21" s="11">
        <f t="shared" si="4"/>
        <v>3240</v>
      </c>
      <c r="E21" s="11">
        <f t="shared" si="5"/>
        <v>3240</v>
      </c>
      <c r="F21" s="11">
        <f t="shared" si="6"/>
        <v>3240</v>
      </c>
    </row>
    <row r="22">
      <c r="B22" s="11"/>
      <c r="C22" s="11"/>
      <c r="D22" s="11"/>
      <c r="E22" s="11"/>
      <c r="F22" s="11"/>
    </row>
    <row r="23">
      <c r="A23" s="4" t="s">
        <v>214</v>
      </c>
    </row>
    <row r="24">
      <c r="A24" s="3" t="s">
        <v>215</v>
      </c>
      <c r="B24" s="14">
        <f t="shared" ref="B24:F24" si="7">SUM(B5:B23)*0.05</f>
        <v>20124.15125</v>
      </c>
      <c r="C24" s="14">
        <f t="shared" si="7"/>
        <v>30027.22</v>
      </c>
      <c r="D24" s="14">
        <f t="shared" si="7"/>
        <v>30158.0875</v>
      </c>
      <c r="E24" s="14">
        <f t="shared" si="7"/>
        <v>34506.26</v>
      </c>
      <c r="F24" s="14">
        <f t="shared" si="7"/>
        <v>37975.3625</v>
      </c>
    </row>
    <row r="25">
      <c r="B25" s="11"/>
      <c r="C25" s="11"/>
      <c r="D25" s="11"/>
      <c r="E25" s="11"/>
      <c r="F25" s="11"/>
    </row>
    <row r="26">
      <c r="A26" s="55" t="s">
        <v>216</v>
      </c>
      <c r="B26" s="56">
        <f t="shared" ref="B26:F26" si="8">SUM(B5:B24)</f>
        <v>422607.1763</v>
      </c>
      <c r="C26" s="56">
        <f t="shared" si="8"/>
        <v>630571.62</v>
      </c>
      <c r="D26" s="56">
        <f t="shared" si="8"/>
        <v>633319.8375</v>
      </c>
      <c r="E26" s="56">
        <f t="shared" si="8"/>
        <v>724631.46</v>
      </c>
      <c r="F26" s="56">
        <f t="shared" si="8"/>
        <v>797482.6125</v>
      </c>
    </row>
    <row r="27">
      <c r="B27" s="11"/>
      <c r="C27" s="11"/>
      <c r="D27" s="11"/>
      <c r="E27" s="11"/>
      <c r="F27" s="11"/>
    </row>
    <row r="28">
      <c r="B28" s="11"/>
      <c r="C28" s="11"/>
      <c r="D28" s="11"/>
      <c r="E28" s="11"/>
      <c r="F28" s="11"/>
    </row>
    <row r="29">
      <c r="B29" s="11"/>
      <c r="C29" s="11"/>
      <c r="D29" s="11"/>
      <c r="E29" s="11"/>
      <c r="F29" s="11"/>
    </row>
    <row r="30">
      <c r="B30" s="11"/>
      <c r="C30" s="11"/>
      <c r="D30" s="11"/>
      <c r="E30" s="11"/>
      <c r="F30" s="11"/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mergeCells count="6">
    <mergeCell ref="A1:F1"/>
    <mergeCell ref="A4:F4"/>
    <mergeCell ref="A9:F9"/>
    <mergeCell ref="A13:F13"/>
    <mergeCell ref="A18:F18"/>
    <mergeCell ref="A23:F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6" width="15.13"/>
  </cols>
  <sheetData>
    <row r="1">
      <c r="A1" s="57" t="s">
        <v>217</v>
      </c>
      <c r="B1" s="57"/>
      <c r="C1" s="57"/>
      <c r="D1" s="57"/>
      <c r="E1" s="57"/>
      <c r="F1" s="57"/>
    </row>
    <row r="2">
      <c r="B2" s="11"/>
      <c r="C2" s="11"/>
      <c r="D2" s="11"/>
      <c r="E2" s="11"/>
      <c r="F2" s="11"/>
    </row>
    <row r="3">
      <c r="A3" s="58" t="s">
        <v>218</v>
      </c>
      <c r="B3" s="59" t="s">
        <v>196</v>
      </c>
      <c r="C3" s="59" t="s">
        <v>197</v>
      </c>
      <c r="D3" s="59" t="s">
        <v>198</v>
      </c>
      <c r="E3" s="59" t="s">
        <v>199</v>
      </c>
      <c r="F3" s="59" t="s">
        <v>200</v>
      </c>
    </row>
    <row r="4">
      <c r="A4" s="4" t="s">
        <v>219</v>
      </c>
      <c r="B4" s="4"/>
      <c r="C4" s="4"/>
      <c r="D4" s="4"/>
      <c r="E4" s="4"/>
      <c r="F4" s="4"/>
    </row>
    <row r="5">
      <c r="A5" s="3" t="s">
        <v>220</v>
      </c>
      <c r="B5" s="11">
        <f>('Revenue Model'!B26-('Revenue Model'!B19+'Revenue Model'!B20+'Revenue Model'!B21)-'Revenue Model'!B24-('Revenue Model'!B6+'Revenue Model'!B12))*Assumptions!$B$61</f>
        <v>28375.762</v>
      </c>
      <c r="C5" s="11">
        <f>('Revenue Model'!C26-('Revenue Model'!C19+'Revenue Model'!C20+'Revenue Model'!C21)-'Revenue Model'!C24-('Revenue Model'!C6+'Revenue Model'!C12))*Assumptions!$B$61</f>
        <v>42110.752</v>
      </c>
      <c r="D5" s="11">
        <f>('Revenue Model'!D26-('Revenue Model'!D19+'Revenue Model'!D20+'Revenue Model'!D21)-'Revenue Model'!D24-('Revenue Model'!D6+'Revenue Model'!D12))*Assumptions!$B$61</f>
        <v>41708.62</v>
      </c>
      <c r="E5" s="11">
        <f>('Revenue Model'!E26-('Revenue Model'!E19+'Revenue Model'!E20+'Revenue Model'!E21)-'Revenue Model'!E24-('Revenue Model'!E6+'Revenue Model'!E12))*Assumptions!$B$61</f>
        <v>48054.176</v>
      </c>
      <c r="F5" s="11">
        <f>('Revenue Model'!F26-('Revenue Model'!F19+'Revenue Model'!F20+'Revenue Model'!F21)-'Revenue Model'!F24-('Revenue Model'!F6+'Revenue Model'!F12))*Assumptions!$B$61</f>
        <v>53604.74</v>
      </c>
    </row>
    <row r="6">
      <c r="A6" s="3" t="s">
        <v>221</v>
      </c>
      <c r="B6" s="11">
        <f>('Revenue Model'!B6+'Revenue Model'!B12)*Assumptions!$B$62</f>
        <v>917.28</v>
      </c>
      <c r="C6" s="11">
        <f>('Revenue Model'!C6+'Revenue Model'!C12)*Assumptions!$B$62</f>
        <v>2446.08</v>
      </c>
      <c r="D6" s="11">
        <f>('Revenue Model'!D6+'Revenue Model'!D12)*Assumptions!$B$62</f>
        <v>3057.6</v>
      </c>
      <c r="E6" s="11">
        <f>('Revenue Model'!E6+'Revenue Model'!E12)*Assumptions!$B$62</f>
        <v>3669.12</v>
      </c>
      <c r="F6" s="11">
        <f>('Revenue Model'!F6+'Revenue Model'!F12)*Assumptions!$B$62</f>
        <v>3669.12</v>
      </c>
    </row>
    <row r="7">
      <c r="A7" s="3" t="s">
        <v>222</v>
      </c>
      <c r="B7" s="11">
        <f>('Revenue Model'!B19+'Revenue Model'!B20+'Revenue Model'!B21)*Assumptions!$B$58</f>
        <v>10896</v>
      </c>
      <c r="C7" s="11">
        <f>('Revenue Model'!C19+'Revenue Model'!C20+'Revenue Model'!C21)*Assumptions!$B$58</f>
        <v>13075.2</v>
      </c>
      <c r="D7" s="11">
        <f>('Revenue Model'!D19+'Revenue Model'!D20+'Revenue Model'!D21)*Assumptions!$B$58</f>
        <v>13075.2</v>
      </c>
      <c r="E7" s="11">
        <f>('Revenue Model'!E19+'Revenue Model'!E20+'Revenue Model'!E21)*Assumptions!$B$58</f>
        <v>13075.2</v>
      </c>
      <c r="F7" s="11">
        <f>('Revenue Model'!F19+'Revenue Model'!F20+'Revenue Model'!F21)*Assumptions!$B$58</f>
        <v>13075.2</v>
      </c>
    </row>
    <row r="8">
      <c r="A8" s="3" t="s">
        <v>223</v>
      </c>
      <c r="B8" s="11">
        <f>'Startup Supplies'!E66*Assumptions!$B$63*3</f>
        <v>0</v>
      </c>
      <c r="C8" s="11">
        <f>'Startup Supplies'!E66*Assumptions!$B$63*4</f>
        <v>0</v>
      </c>
      <c r="D8" s="11">
        <f>'Startup Supplies'!E66*Assumptions!$B$63*4</f>
        <v>0</v>
      </c>
      <c r="E8" s="11">
        <f>'Startup Supplies'!E66*Assumptions!$B$63*4</f>
        <v>0</v>
      </c>
      <c r="F8" s="11">
        <f>'Startup Supplies'!E66*Assumptions!$B$63*4</f>
        <v>0</v>
      </c>
    </row>
    <row r="9">
      <c r="B9" s="11"/>
      <c r="C9" s="11"/>
      <c r="D9" s="11"/>
      <c r="E9" s="11"/>
      <c r="F9" s="11"/>
    </row>
    <row r="10">
      <c r="A10" s="4" t="s">
        <v>224</v>
      </c>
      <c r="B10" s="4"/>
      <c r="C10" s="4"/>
      <c r="D10" s="4"/>
      <c r="E10" s="4"/>
      <c r="F10" s="4"/>
    </row>
    <row r="11">
      <c r="A11" s="3" t="s">
        <v>225</v>
      </c>
      <c r="B11" s="11">
        <f>Assumptions!$B$31+Assumptions!$B$32</f>
        <v>100000</v>
      </c>
      <c r="C11" s="11">
        <f>Assumptions!$B$31+Assumptions!$B$32</f>
        <v>100000</v>
      </c>
      <c r="D11" s="11">
        <f>Assumptions!$B$31+Assumptions!$B$32</f>
        <v>100000</v>
      </c>
      <c r="E11" s="11">
        <f>Assumptions!$B$31+Assumptions!$B$32</f>
        <v>100000</v>
      </c>
      <c r="F11" s="11">
        <f>Assumptions!$B$31+Assumptions!$B$32</f>
        <v>100000</v>
      </c>
    </row>
    <row r="12">
      <c r="A12" s="3" t="s">
        <v>226</v>
      </c>
      <c r="B12" s="14">
        <v>0.0</v>
      </c>
      <c r="C12" s="11">
        <f>Assumptions!$B$33*Assumptions!$B$34*52</f>
        <v>0</v>
      </c>
      <c r="D12" s="11">
        <f>Assumptions!$B$33*Assumptions!$B$34*52</f>
        <v>0</v>
      </c>
      <c r="E12" s="11">
        <f>Assumptions!$B$33*Assumptions!$B$34*52</f>
        <v>0</v>
      </c>
      <c r="F12" s="11">
        <f>Assumptions!$B$33*Assumptions!$B$34*52</f>
        <v>0</v>
      </c>
    </row>
    <row r="13">
      <c r="A13" s="3" t="s">
        <v>227</v>
      </c>
      <c r="B13" s="11">
        <f>(SUMPRODUCT('Class Schedule'!B4:B13,'Class Schedule'!F4:F13)*Assumptions!$B$13 + SUMPRODUCT('Summer Camps'!H4:H19,'Summer Camps'!G4:G19)*5)*Assumptions!$B$35</f>
        <v>79603</v>
      </c>
      <c r="C13" s="11">
        <f>(SUMPRODUCT('Class Schedule'!B4:B13,'Class Schedule'!H4:H13)*Assumptions!$B$14 + SUMPRODUCT('Summer Camps'!J4:J19,'Summer Camps'!G4:G19)*5)*Assumptions!$B$35</f>
        <v>127903</v>
      </c>
      <c r="D13" s="11">
        <f>(SUMPRODUCT('Class Schedule'!B4:B13,'Class Schedule'!J4:J13)*Assumptions!$B$14 + SUMPRODUCT('Summer Camps'!L4:L19,'Summer Camps'!G4:G19)*5)*Assumptions!$B$35</f>
        <v>123165</v>
      </c>
      <c r="E13" s="11">
        <f>(SUMPRODUCT('Class Schedule'!B4:B13,'Class Schedule'!L4:L13)*Assumptions!$B$14 + SUMPRODUCT('Summer Camps'!N4:N19,'Summer Camps'!G4:G19)*5)*Assumptions!$B$35</f>
        <v>148879</v>
      </c>
      <c r="F13" s="11">
        <f>(SUMPRODUCT('Class Schedule'!B4:B13,'Class Schedule'!N4:N13)*Assumptions!$B$14 + SUMPRODUCT('Summer Camps'!P4:P19,'Summer Camps'!G4:G19)*5)*Assumptions!$B$35</f>
        <v>172385</v>
      </c>
    </row>
    <row r="14">
      <c r="A14" s="3" t="s">
        <v>228</v>
      </c>
      <c r="B14" s="11">
        <f t="shared" ref="B14:F14" si="1">B13*0.3</f>
        <v>23880.9</v>
      </c>
      <c r="C14" s="11">
        <f t="shared" si="1"/>
        <v>38370.9</v>
      </c>
      <c r="D14" s="11">
        <f t="shared" si="1"/>
        <v>36949.5</v>
      </c>
      <c r="E14" s="11">
        <f t="shared" si="1"/>
        <v>44663.7</v>
      </c>
      <c r="F14" s="11">
        <f t="shared" si="1"/>
        <v>51715.5</v>
      </c>
    </row>
    <row r="15">
      <c r="A15" s="3" t="s">
        <v>229</v>
      </c>
      <c r="B15" s="11">
        <f>SUM(B11:B14)*Assumptions!$B$37</f>
        <v>15566.51835</v>
      </c>
      <c r="C15" s="11">
        <f>SUM(C11:C14)*Assumptions!$B$37</f>
        <v>20369.95335</v>
      </c>
      <c r="D15" s="11">
        <f>SUM(D11:D14)*Assumptions!$B$37</f>
        <v>19898.75925</v>
      </c>
      <c r="E15" s="11">
        <f>SUM(E11:E14)*Assumptions!$B$37</f>
        <v>22456.01655</v>
      </c>
      <c r="F15" s="11">
        <f>SUM(F11:F14)*Assumptions!$B$37</f>
        <v>24793.68825</v>
      </c>
    </row>
    <row r="16">
      <c r="B16" s="11"/>
      <c r="C16" s="11"/>
      <c r="D16" s="11"/>
      <c r="E16" s="11"/>
      <c r="F16" s="11"/>
    </row>
    <row r="17">
      <c r="A17" s="4" t="s">
        <v>230</v>
      </c>
      <c r="B17" s="4"/>
      <c r="C17" s="4"/>
      <c r="D17" s="4"/>
      <c r="E17" s="4"/>
      <c r="F17" s="4"/>
    </row>
    <row r="18">
      <c r="A18" s="3" t="s">
        <v>231</v>
      </c>
      <c r="B18" s="11">
        <f>Assumptions!$B$8*10</f>
        <v>45000</v>
      </c>
      <c r="C18" s="11">
        <f>Assumptions!$B$8*12</f>
        <v>54000</v>
      </c>
      <c r="D18" s="11">
        <f>Assumptions!$B$8*12</f>
        <v>54000</v>
      </c>
      <c r="E18" s="11">
        <f>Assumptions!$B$8*12</f>
        <v>54000</v>
      </c>
      <c r="F18" s="11">
        <f>Assumptions!$B$8*12</f>
        <v>54000</v>
      </c>
    </row>
    <row r="19">
      <c r="A19" s="3" t="s">
        <v>232</v>
      </c>
      <c r="B19" s="11">
        <f>Assumptions!$B$23*10</f>
        <v>11720.39422</v>
      </c>
      <c r="C19" s="11">
        <f>Assumptions!$B$23*12</f>
        <v>14064.47306</v>
      </c>
      <c r="D19" s="11">
        <f>Assumptions!$B$23*12</f>
        <v>14064.47306</v>
      </c>
      <c r="E19" s="11">
        <f>Assumptions!$B$23*12</f>
        <v>14064.47306</v>
      </c>
      <c r="F19" s="11">
        <f>Assumptions!$B$23*12</f>
        <v>14064.47306</v>
      </c>
    </row>
    <row r="20">
      <c r="A20" s="3" t="s">
        <v>233</v>
      </c>
      <c r="B20" s="11">
        <f>Assumptions!$B$68*10</f>
        <v>5416.666667</v>
      </c>
      <c r="C20" s="11">
        <f>Assumptions!$B$68*12</f>
        <v>6500</v>
      </c>
      <c r="D20" s="11">
        <f>Assumptions!$B$68*12</f>
        <v>6500</v>
      </c>
      <c r="E20" s="11">
        <f>Assumptions!$B$68*12</f>
        <v>6500</v>
      </c>
      <c r="F20" s="11">
        <f>Assumptions!$B$68*12</f>
        <v>6500</v>
      </c>
    </row>
    <row r="21">
      <c r="A21" s="3" t="s">
        <v>234</v>
      </c>
      <c r="B21" s="11">
        <f>(Assumptions!$B$64+Assumptions!$B$65+Assumptions!$B$66+Assumptions!$B$67)*10</f>
        <v>11000</v>
      </c>
      <c r="C21" s="11">
        <f>(Assumptions!$B$64+Assumptions!$B$65+Assumptions!$B$66+Assumptions!$B$67)*12</f>
        <v>13200</v>
      </c>
      <c r="D21" s="11">
        <f>(Assumptions!$B$64+Assumptions!$B$65+Assumptions!$B$66+Assumptions!$B$67)*12</f>
        <v>13200</v>
      </c>
      <c r="E21" s="11">
        <f>(Assumptions!$B$64+Assumptions!$B$65+Assumptions!$B$66+Assumptions!$B$67)*12</f>
        <v>13200</v>
      </c>
      <c r="F21" s="11">
        <f>(Assumptions!$B$64+Assumptions!$B$65+Assumptions!$B$66+Assumptions!$B$67)*12</f>
        <v>13200</v>
      </c>
    </row>
    <row r="22">
      <c r="A22" s="3" t="s">
        <v>235</v>
      </c>
      <c r="B22" s="11">
        <f>Assumptions!$B$70/12*10</f>
        <v>4166.666667</v>
      </c>
      <c r="C22" s="11">
        <f>Assumptions!$B$70</f>
        <v>5000</v>
      </c>
      <c r="D22" s="11">
        <f>Assumptions!$B$70</f>
        <v>5000</v>
      </c>
      <c r="E22" s="11">
        <f>Assumptions!$B$70</f>
        <v>5000</v>
      </c>
      <c r="F22" s="11">
        <f>Assumptions!$B$70</f>
        <v>5000</v>
      </c>
    </row>
    <row r="23">
      <c r="B23" s="11"/>
      <c r="C23" s="11"/>
      <c r="D23" s="11"/>
      <c r="E23" s="11"/>
      <c r="F23" s="11"/>
    </row>
    <row r="24">
      <c r="A24" s="4" t="s">
        <v>236</v>
      </c>
      <c r="B24" s="4"/>
      <c r="C24" s="4"/>
      <c r="D24" s="4"/>
      <c r="E24" s="4"/>
      <c r="F24" s="4"/>
    </row>
    <row r="25">
      <c r="A25" s="3" t="s">
        <v>237</v>
      </c>
      <c r="B25" s="11">
        <f>Assumptions!$B$71*10</f>
        <v>15000</v>
      </c>
      <c r="C25" s="11">
        <f>'Revenue Model'!C26*Assumptions!$B$72</f>
        <v>18917.1486</v>
      </c>
      <c r="D25" s="11">
        <f>'Revenue Model'!D26*Assumptions!$B$72</f>
        <v>18999.59513</v>
      </c>
      <c r="E25" s="11">
        <f>'Revenue Model'!E26*Assumptions!$B$72</f>
        <v>21738.9438</v>
      </c>
      <c r="F25" s="11">
        <f>'Revenue Model'!F26*Assumptions!$B$72</f>
        <v>23924.47838</v>
      </c>
    </row>
    <row r="26">
      <c r="A26" s="3" t="s">
        <v>238</v>
      </c>
      <c r="B26" s="11">
        <f>(Assumptions!$B$73+Assumptions!$B$74+Assumptions!$B$75)/12*10</f>
        <v>6000</v>
      </c>
      <c r="C26" s="11">
        <f>Assumptions!$B$73+Assumptions!$B$74+Assumptions!$B$75</f>
        <v>7200</v>
      </c>
      <c r="D26" s="11">
        <f>Assumptions!$B$73+Assumptions!$B$74+Assumptions!$B$75</f>
        <v>7200</v>
      </c>
      <c r="E26" s="11">
        <f>Assumptions!$B$73+Assumptions!$B$74+Assumptions!$B$75</f>
        <v>7200</v>
      </c>
      <c r="F26" s="11">
        <f>Assumptions!$B$73+Assumptions!$B$74+Assumptions!$B$75</f>
        <v>7200</v>
      </c>
    </row>
    <row r="27">
      <c r="A27" s="3" t="s">
        <v>239</v>
      </c>
      <c r="B27" s="11">
        <f>Assumptions!$B$76/12*10</f>
        <v>858.3333333</v>
      </c>
      <c r="C27" s="11">
        <f>Assumptions!$B$76</f>
        <v>1030</v>
      </c>
      <c r="D27" s="11">
        <f>Assumptions!$B$76</f>
        <v>1030</v>
      </c>
      <c r="E27" s="11">
        <f>Assumptions!$B$76</f>
        <v>1030</v>
      </c>
      <c r="F27" s="11">
        <f>Assumptions!$B$76</f>
        <v>1030</v>
      </c>
    </row>
    <row r="28">
      <c r="A28" s="3" t="s">
        <v>240</v>
      </c>
      <c r="B28" s="14">
        <v>2000.0</v>
      </c>
      <c r="C28" s="14">
        <v>3000.0</v>
      </c>
      <c r="D28" s="14">
        <v>3500.0</v>
      </c>
      <c r="E28" s="14">
        <v>4000.0</v>
      </c>
      <c r="F28" s="14">
        <v>4500.0</v>
      </c>
    </row>
    <row r="29">
      <c r="B29" s="11"/>
      <c r="C29" s="11"/>
      <c r="D29" s="11"/>
      <c r="E29" s="11"/>
      <c r="F29" s="11"/>
    </row>
    <row r="30">
      <c r="A30" s="60" t="s">
        <v>241</v>
      </c>
      <c r="B30" s="61">
        <f t="shared" ref="B30:F30" si="2">SUM(B5:B29)</f>
        <v>360401.5212</v>
      </c>
      <c r="C30" s="61">
        <f t="shared" si="2"/>
        <v>467187.507</v>
      </c>
      <c r="D30" s="61">
        <f t="shared" si="2"/>
        <v>461348.7474</v>
      </c>
      <c r="E30" s="61">
        <f t="shared" si="2"/>
        <v>507530.6294</v>
      </c>
      <c r="F30" s="61">
        <f t="shared" si="2"/>
        <v>548662.1997</v>
      </c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8.88"/>
  </cols>
  <sheetData>
    <row r="1">
      <c r="A1" s="62" t="s">
        <v>242</v>
      </c>
      <c r="B1" s="62"/>
    </row>
    <row r="3">
      <c r="A3" s="43" t="s">
        <v>133</v>
      </c>
      <c r="B3" s="43" t="s">
        <v>243</v>
      </c>
    </row>
    <row r="4">
      <c r="A4" s="4" t="s">
        <v>244</v>
      </c>
      <c r="B4" s="4"/>
    </row>
    <row r="5">
      <c r="A5" s="3" t="s">
        <v>245</v>
      </c>
      <c r="B5" s="11">
        <f>Assumptions!B8</f>
        <v>4500</v>
      </c>
    </row>
    <row r="6">
      <c r="A6" s="3" t="s">
        <v>246</v>
      </c>
      <c r="B6" s="11">
        <f>Assumptions!B8</f>
        <v>4500</v>
      </c>
    </row>
    <row r="7">
      <c r="A7" s="3" t="s">
        <v>247</v>
      </c>
      <c r="B7" s="11">
        <f>Assumptions!B8</f>
        <v>4500</v>
      </c>
    </row>
    <row r="9">
      <c r="A9" s="4" t="s">
        <v>248</v>
      </c>
      <c r="B9" s="4"/>
    </row>
    <row r="10">
      <c r="A10" s="3" t="s">
        <v>249</v>
      </c>
      <c r="B10" s="14">
        <v>8000.0</v>
      </c>
    </row>
    <row r="11">
      <c r="A11" s="3" t="s">
        <v>250</v>
      </c>
      <c r="B11" s="14">
        <v>4800.0</v>
      </c>
    </row>
    <row r="12">
      <c r="A12" s="3" t="s">
        <v>251</v>
      </c>
      <c r="B12" s="14">
        <v>2500.0</v>
      </c>
    </row>
    <row r="13">
      <c r="A13" s="3" t="s">
        <v>252</v>
      </c>
      <c r="B13" s="14">
        <v>2500.0</v>
      </c>
    </row>
    <row r="15">
      <c r="A15" s="4" t="s">
        <v>253</v>
      </c>
      <c r="B15" s="4"/>
    </row>
    <row r="16">
      <c r="A16" s="3" t="s">
        <v>254</v>
      </c>
      <c r="B16" s="11">
        <f>'Startup Supplies'!E63</f>
        <v>18575</v>
      </c>
    </row>
    <row r="18">
      <c r="A18" s="4" t="s">
        <v>255</v>
      </c>
      <c r="B18" s="4"/>
    </row>
    <row r="19">
      <c r="A19" s="3" t="s">
        <v>256</v>
      </c>
      <c r="B19" s="14">
        <v>15000.0</v>
      </c>
    </row>
    <row r="20">
      <c r="A20" s="3" t="s">
        <v>257</v>
      </c>
      <c r="B20" s="14">
        <v>5000.0</v>
      </c>
    </row>
    <row r="21">
      <c r="A21" s="3" t="s">
        <v>258</v>
      </c>
      <c r="B21" s="14">
        <v>3000.0</v>
      </c>
    </row>
    <row r="22">
      <c r="A22" s="3" t="s">
        <v>259</v>
      </c>
      <c r="B22" s="14">
        <v>5000.0</v>
      </c>
    </row>
    <row r="23">
      <c r="A23" s="3" t="s">
        <v>260</v>
      </c>
      <c r="B23" s="14">
        <v>3000.0</v>
      </c>
    </row>
    <row r="25">
      <c r="A25" s="4" t="s">
        <v>261</v>
      </c>
      <c r="B25" s="4"/>
    </row>
    <row r="26">
      <c r="A26" s="3" t="s">
        <v>262</v>
      </c>
      <c r="B26" s="11">
        <f>Expenses!B30/Assumptions!B18</f>
        <v>120133.8404</v>
      </c>
    </row>
    <row r="28">
      <c r="A28" s="43" t="s">
        <v>263</v>
      </c>
      <c r="B28" s="63">
        <f>SUM(B5:B7)+SUM(B10:B13)+B16+SUM(B19:B23)</f>
        <v>80875</v>
      </c>
    </row>
    <row r="29">
      <c r="A29" s="51" t="s">
        <v>264</v>
      </c>
      <c r="B29" s="64">
        <f>B28+B26</f>
        <v>201008.8404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5" width="15.13"/>
  </cols>
  <sheetData>
    <row r="1">
      <c r="A1" s="65" t="s">
        <v>265</v>
      </c>
      <c r="B1" s="65"/>
      <c r="C1" s="65"/>
      <c r="D1" s="65"/>
      <c r="E1" s="65"/>
    </row>
    <row r="3">
      <c r="A3" s="3" t="s">
        <v>266</v>
      </c>
      <c r="B3" s="11">
        <f>Assumptions!B20</f>
        <v>80875</v>
      </c>
    </row>
    <row r="4">
      <c r="A4" s="3" t="s">
        <v>267</v>
      </c>
      <c r="B4" s="66">
        <f>Assumptions!B22</f>
        <v>0.1225</v>
      </c>
    </row>
    <row r="5">
      <c r="A5" s="3" t="s">
        <v>268</v>
      </c>
      <c r="B5" s="67" t="str">
        <f>Assumptions!B21&amp;" years"</f>
        <v>10 years</v>
      </c>
    </row>
    <row r="6">
      <c r="A6" s="3" t="s">
        <v>269</v>
      </c>
      <c r="B6" s="11">
        <f>Assumptions!B23</f>
        <v>1172.039422</v>
      </c>
    </row>
    <row r="8">
      <c r="A8" s="68" t="s">
        <v>270</v>
      </c>
      <c r="B8" s="68" t="s">
        <v>271</v>
      </c>
      <c r="C8" s="68" t="s">
        <v>272</v>
      </c>
      <c r="D8" s="68" t="s">
        <v>273</v>
      </c>
      <c r="E8" s="68" t="s">
        <v>274</v>
      </c>
    </row>
    <row r="9">
      <c r="A9" s="3" t="s">
        <v>275</v>
      </c>
      <c r="B9" s="11"/>
      <c r="C9" s="11"/>
      <c r="D9" s="11"/>
      <c r="E9" s="11">
        <f>B3</f>
        <v>80875</v>
      </c>
    </row>
    <row r="10">
      <c r="A10" s="3" t="s">
        <v>276</v>
      </c>
      <c r="B10" s="11">
        <f t="shared" ref="B10:B14" si="1">D10-C10</f>
        <v>1813.206716</v>
      </c>
      <c r="C10" s="11">
        <f t="shared" ref="C10:C14" si="2">E9*$B$4</f>
        <v>9907.1875</v>
      </c>
      <c r="D10" s="11">
        <f>$B$6*10</f>
        <v>11720.39422</v>
      </c>
      <c r="E10" s="11">
        <f t="shared" ref="E10:E14" si="3">E9-B10</f>
        <v>79061.79328</v>
      </c>
    </row>
    <row r="11">
      <c r="A11" s="3" t="s">
        <v>197</v>
      </c>
      <c r="B11" s="11">
        <f t="shared" si="1"/>
        <v>4379.403382</v>
      </c>
      <c r="C11" s="11">
        <f t="shared" si="2"/>
        <v>9685.069677</v>
      </c>
      <c r="D11" s="11">
        <f t="shared" ref="D11:D14" si="4">$B$6*12</f>
        <v>14064.47306</v>
      </c>
      <c r="E11" s="11">
        <f t="shared" si="3"/>
        <v>74682.3899</v>
      </c>
    </row>
    <row r="12">
      <c r="A12" s="3" t="s">
        <v>198</v>
      </c>
      <c r="B12" s="11">
        <f t="shared" si="1"/>
        <v>4915.880296</v>
      </c>
      <c r="C12" s="11">
        <f t="shared" si="2"/>
        <v>9148.592763</v>
      </c>
      <c r="D12" s="11">
        <f t="shared" si="4"/>
        <v>14064.47306</v>
      </c>
      <c r="E12" s="11">
        <f t="shared" si="3"/>
        <v>69766.50961</v>
      </c>
    </row>
    <row r="13">
      <c r="A13" s="3" t="s">
        <v>199</v>
      </c>
      <c r="B13" s="11">
        <f t="shared" si="1"/>
        <v>5518.075632</v>
      </c>
      <c r="C13" s="11">
        <f t="shared" si="2"/>
        <v>8546.397427</v>
      </c>
      <c r="D13" s="11">
        <f t="shared" si="4"/>
        <v>14064.47306</v>
      </c>
      <c r="E13" s="11">
        <f t="shared" si="3"/>
        <v>64248.43397</v>
      </c>
    </row>
    <row r="14">
      <c r="A14" s="3" t="s">
        <v>200</v>
      </c>
      <c r="B14" s="11">
        <f t="shared" si="1"/>
        <v>6194.039897</v>
      </c>
      <c r="C14" s="11">
        <f t="shared" si="2"/>
        <v>7870.433162</v>
      </c>
      <c r="D14" s="11">
        <f t="shared" si="4"/>
        <v>14064.47306</v>
      </c>
      <c r="E14" s="11">
        <f t="shared" si="3"/>
        <v>58054.39408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6" width="15.13"/>
  </cols>
  <sheetData>
    <row r="1">
      <c r="A1" s="19" t="s">
        <v>277</v>
      </c>
    </row>
    <row r="3">
      <c r="A3" s="69"/>
      <c r="B3" s="20" t="s">
        <v>196</v>
      </c>
      <c r="C3" s="20" t="s">
        <v>197</v>
      </c>
      <c r="D3" s="20" t="s">
        <v>198</v>
      </c>
      <c r="E3" s="20" t="s">
        <v>199</v>
      </c>
      <c r="F3" s="20" t="s">
        <v>200</v>
      </c>
    </row>
    <row r="4">
      <c r="A4" s="7" t="s">
        <v>278</v>
      </c>
      <c r="B4" s="8">
        <f>'Revenue Model'!B26</f>
        <v>422607.1763</v>
      </c>
      <c r="C4" s="8">
        <f>'Revenue Model'!C26</f>
        <v>630571.62</v>
      </c>
      <c r="D4" s="8">
        <f>'Revenue Model'!D26</f>
        <v>633319.8375</v>
      </c>
      <c r="E4" s="8">
        <f>'Revenue Model'!E26</f>
        <v>724631.46</v>
      </c>
      <c r="F4" s="8">
        <f>'Revenue Model'!F26</f>
        <v>797482.6125</v>
      </c>
    </row>
    <row r="5">
      <c r="B5" s="11"/>
      <c r="C5" s="11"/>
      <c r="D5" s="11"/>
      <c r="E5" s="11"/>
      <c r="F5" s="11"/>
    </row>
    <row r="6">
      <c r="A6" s="7" t="s">
        <v>279</v>
      </c>
      <c r="B6" s="8">
        <f>Expenses!B30</f>
        <v>360401.5212</v>
      </c>
      <c r="C6" s="8">
        <f>Expenses!C30</f>
        <v>467187.507</v>
      </c>
      <c r="D6" s="8">
        <f>Expenses!D30</f>
        <v>461348.7474</v>
      </c>
      <c r="E6" s="8">
        <f>Expenses!E30</f>
        <v>507530.6294</v>
      </c>
      <c r="F6" s="8">
        <f>Expenses!F30</f>
        <v>548662.1997</v>
      </c>
    </row>
    <row r="7">
      <c r="B7" s="11"/>
      <c r="C7" s="11"/>
      <c r="D7" s="11"/>
      <c r="E7" s="11"/>
      <c r="F7" s="11"/>
    </row>
    <row r="8">
      <c r="A8" s="20" t="s">
        <v>280</v>
      </c>
      <c r="B8" s="70">
        <f t="shared" ref="B8:F8" si="1">B4-B6</f>
        <v>62205.65502</v>
      </c>
      <c r="C8" s="70">
        <f t="shared" si="1"/>
        <v>163384.113</v>
      </c>
      <c r="D8" s="70">
        <f t="shared" si="1"/>
        <v>171971.0901</v>
      </c>
      <c r="E8" s="70">
        <f t="shared" si="1"/>
        <v>217100.8306</v>
      </c>
      <c r="F8" s="70">
        <f t="shared" si="1"/>
        <v>248820.4128</v>
      </c>
    </row>
    <row r="9">
      <c r="B9" s="11"/>
      <c r="C9" s="11"/>
      <c r="D9" s="11"/>
      <c r="E9" s="11"/>
      <c r="F9" s="11"/>
    </row>
    <row r="10">
      <c r="A10" s="3" t="s">
        <v>281</v>
      </c>
      <c r="B10" s="11">
        <f>Assumptions!B81/12*10</f>
        <v>2952.380952</v>
      </c>
      <c r="C10" s="11">
        <f>Assumptions!B81</f>
        <v>3542.857143</v>
      </c>
      <c r="D10" s="11">
        <f>Assumptions!B81</f>
        <v>3542.857143</v>
      </c>
      <c r="E10" s="11">
        <f>Assumptions!B81</f>
        <v>3542.857143</v>
      </c>
      <c r="F10" s="11">
        <f>Assumptions!B81</f>
        <v>3542.857143</v>
      </c>
    </row>
    <row r="11">
      <c r="B11" s="11"/>
      <c r="C11" s="11"/>
      <c r="D11" s="11"/>
      <c r="E11" s="11"/>
      <c r="F11" s="11"/>
    </row>
    <row r="12">
      <c r="A12" s="7" t="s">
        <v>282</v>
      </c>
      <c r="B12" s="8">
        <f t="shared" ref="B12:F12" si="2">B8-B10</f>
        <v>59253.27407</v>
      </c>
      <c r="C12" s="8">
        <f t="shared" si="2"/>
        <v>159841.2558</v>
      </c>
      <c r="D12" s="8">
        <f t="shared" si="2"/>
        <v>168428.2329</v>
      </c>
      <c r="E12" s="8">
        <f t="shared" si="2"/>
        <v>213557.9734</v>
      </c>
      <c r="F12" s="8">
        <f t="shared" si="2"/>
        <v>245277.5557</v>
      </c>
    </row>
    <row r="13">
      <c r="B13" s="11"/>
      <c r="C13" s="11"/>
      <c r="D13" s="11"/>
      <c r="E13" s="11"/>
      <c r="F13" s="11"/>
    </row>
    <row r="14">
      <c r="A14" s="3" t="s">
        <v>283</v>
      </c>
      <c r="B14" s="11">
        <f>'Loan Amortization'!C10</f>
        <v>9907.1875</v>
      </c>
      <c r="C14" s="11">
        <f>'Loan Amortization'!C11</f>
        <v>9685.069677</v>
      </c>
      <c r="D14" s="11">
        <f>'Loan Amortization'!C12</f>
        <v>9148.592763</v>
      </c>
      <c r="E14" s="11">
        <f>'Loan Amortization'!C13</f>
        <v>8546.397427</v>
      </c>
      <c r="F14" s="11">
        <f>'Loan Amortization'!C14</f>
        <v>7870.433162</v>
      </c>
    </row>
    <row r="15">
      <c r="B15" s="11"/>
      <c r="C15" s="11"/>
      <c r="D15" s="11"/>
      <c r="E15" s="11"/>
      <c r="F15" s="11"/>
    </row>
    <row r="16">
      <c r="A16" s="71" t="s">
        <v>284</v>
      </c>
      <c r="B16" s="72">
        <f t="shared" ref="B16:F16" si="3">B12-B14</f>
        <v>49346.08657</v>
      </c>
      <c r="C16" s="72">
        <f t="shared" si="3"/>
        <v>150156.1862</v>
      </c>
      <c r="D16" s="72">
        <f t="shared" si="3"/>
        <v>159279.6402</v>
      </c>
      <c r="E16" s="72">
        <f t="shared" si="3"/>
        <v>205011.576</v>
      </c>
      <c r="F16" s="72">
        <f t="shared" si="3"/>
        <v>237407.1225</v>
      </c>
    </row>
    <row r="18">
      <c r="A18" s="20" t="s">
        <v>285</v>
      </c>
    </row>
    <row r="19">
      <c r="A19" s="3" t="s">
        <v>286</v>
      </c>
      <c r="B19" s="73">
        <f t="shared" ref="B19:F19" si="4">B8/B4</f>
        <v>0.1471949804</v>
      </c>
      <c r="C19" s="73">
        <f t="shared" si="4"/>
        <v>0.2591047675</v>
      </c>
      <c r="D19" s="73">
        <f t="shared" si="4"/>
        <v>0.2715390864</v>
      </c>
      <c r="E19" s="73">
        <f t="shared" si="4"/>
        <v>0.2996017184</v>
      </c>
      <c r="F19" s="73">
        <f t="shared" si="4"/>
        <v>0.3120073202</v>
      </c>
    </row>
    <row r="20">
      <c r="A20" s="3" t="s">
        <v>287</v>
      </c>
      <c r="B20" s="73">
        <f t="shared" ref="B20:F20" si="5">B16/B4</f>
        <v>0.116765851</v>
      </c>
      <c r="C20" s="73">
        <f t="shared" si="5"/>
        <v>0.238127092</v>
      </c>
      <c r="D20" s="73">
        <f t="shared" si="5"/>
        <v>0.2514995279</v>
      </c>
      <c r="E20" s="73">
        <f t="shared" si="5"/>
        <v>0.2829184038</v>
      </c>
      <c r="F20" s="73">
        <f t="shared" si="5"/>
        <v>0.2976956723</v>
      </c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6" width="15.13"/>
  </cols>
  <sheetData>
    <row r="1">
      <c r="A1" s="74" t="s">
        <v>288</v>
      </c>
    </row>
    <row r="2">
      <c r="B2" s="11"/>
      <c r="C2" s="11"/>
      <c r="D2" s="11"/>
      <c r="E2" s="11"/>
      <c r="F2" s="11"/>
    </row>
    <row r="3">
      <c r="A3" s="75"/>
      <c r="B3" s="76" t="s">
        <v>196</v>
      </c>
      <c r="C3" s="76" t="s">
        <v>197</v>
      </c>
      <c r="D3" s="76" t="s">
        <v>198</v>
      </c>
      <c r="E3" s="76" t="s">
        <v>199</v>
      </c>
      <c r="F3" s="76" t="s">
        <v>200</v>
      </c>
    </row>
    <row r="4">
      <c r="A4" s="77" t="s">
        <v>289</v>
      </c>
      <c r="B4" s="11"/>
      <c r="C4" s="11"/>
      <c r="D4" s="11"/>
      <c r="E4" s="11"/>
      <c r="F4" s="11"/>
    </row>
    <row r="5">
      <c r="A5" s="3" t="s">
        <v>290</v>
      </c>
      <c r="B5" s="11">
        <f>'Profit &amp; Loss'!B16</f>
        <v>49346.08657</v>
      </c>
      <c r="C5" s="11">
        <f>'Profit &amp; Loss'!C16</f>
        <v>150156.1862</v>
      </c>
      <c r="D5" s="11">
        <f>'Profit &amp; Loss'!D16</f>
        <v>159279.6402</v>
      </c>
      <c r="E5" s="11">
        <f>'Profit &amp; Loss'!E16</f>
        <v>205011.576</v>
      </c>
      <c r="F5" s="11">
        <f>'Profit &amp; Loss'!F16</f>
        <v>237407.1225</v>
      </c>
    </row>
    <row r="6">
      <c r="A6" s="3" t="s">
        <v>291</v>
      </c>
      <c r="B6" s="11">
        <f>'Profit &amp; Loss'!B10</f>
        <v>2952.380952</v>
      </c>
      <c r="C6" s="11">
        <f>'Profit &amp; Loss'!C10</f>
        <v>3542.857143</v>
      </c>
      <c r="D6" s="11">
        <f>'Profit &amp; Loss'!D10</f>
        <v>3542.857143</v>
      </c>
      <c r="E6" s="11">
        <f>'Profit &amp; Loss'!E10</f>
        <v>3542.857143</v>
      </c>
      <c r="F6" s="11">
        <f>'Profit &amp; Loss'!F10</f>
        <v>3542.857143</v>
      </c>
    </row>
    <row r="7">
      <c r="A7" s="7" t="s">
        <v>292</v>
      </c>
      <c r="B7" s="8">
        <f t="shared" ref="B7:F7" si="1">B5+B6</f>
        <v>52298.46752</v>
      </c>
      <c r="C7" s="8">
        <f t="shared" si="1"/>
        <v>153699.0433</v>
      </c>
      <c r="D7" s="8">
        <f t="shared" si="1"/>
        <v>162822.4973</v>
      </c>
      <c r="E7" s="8">
        <f t="shared" si="1"/>
        <v>208554.4332</v>
      </c>
      <c r="F7" s="8">
        <f t="shared" si="1"/>
        <v>240949.9797</v>
      </c>
    </row>
    <row r="8">
      <c r="B8" s="11"/>
      <c r="C8" s="11"/>
      <c r="D8" s="11"/>
      <c r="E8" s="11"/>
      <c r="F8" s="11"/>
    </row>
    <row r="9">
      <c r="A9" s="77" t="s">
        <v>293</v>
      </c>
      <c r="B9" s="11"/>
      <c r="C9" s="11"/>
      <c r="D9" s="11"/>
      <c r="E9" s="11"/>
      <c r="F9" s="11"/>
    </row>
    <row r="10">
      <c r="A10" s="3" t="s">
        <v>294</v>
      </c>
      <c r="B10" s="11">
        <f>-'Loan Amortization'!B10</f>
        <v>-1813.206716</v>
      </c>
      <c r="C10" s="11">
        <f>-'Loan Amortization'!B11</f>
        <v>-4379.403382</v>
      </c>
      <c r="D10" s="11">
        <f>-'Loan Amortization'!B12</f>
        <v>-4915.880296</v>
      </c>
      <c r="E10" s="11">
        <f>-'Loan Amortization'!B13</f>
        <v>-5518.075632</v>
      </c>
      <c r="F10" s="11">
        <f>-'Loan Amortization'!B14</f>
        <v>-6194.039897</v>
      </c>
    </row>
    <row r="11">
      <c r="B11" s="11"/>
      <c r="C11" s="11"/>
      <c r="D11" s="11"/>
      <c r="E11" s="11"/>
      <c r="F11" s="11"/>
    </row>
    <row r="12">
      <c r="A12" s="78" t="s">
        <v>295</v>
      </c>
      <c r="B12" s="79">
        <f t="shared" ref="B12:F12" si="2">B7+B10</f>
        <v>50485.2608</v>
      </c>
      <c r="C12" s="79">
        <f t="shared" si="2"/>
        <v>149319.6399</v>
      </c>
      <c r="D12" s="79">
        <f t="shared" si="2"/>
        <v>157906.617</v>
      </c>
      <c r="E12" s="79">
        <f t="shared" si="2"/>
        <v>203036.3575</v>
      </c>
      <c r="F12" s="79">
        <f t="shared" si="2"/>
        <v>234755.9398</v>
      </c>
    </row>
    <row r="13">
      <c r="A13" s="3" t="s">
        <v>296</v>
      </c>
      <c r="B13" s="11">
        <f>'Startup Costs'!B26</f>
        <v>120133.8404</v>
      </c>
      <c r="C13" s="11">
        <f t="shared" ref="C13:F13" si="3">B13</f>
        <v>120133.8404</v>
      </c>
      <c r="D13" s="11">
        <f t="shared" si="3"/>
        <v>120133.8404</v>
      </c>
      <c r="E13" s="11">
        <f t="shared" si="3"/>
        <v>120133.8404</v>
      </c>
      <c r="F13" s="11">
        <f t="shared" si="3"/>
        <v>120133.8404</v>
      </c>
    </row>
    <row r="14">
      <c r="A14" s="7" t="s">
        <v>297</v>
      </c>
      <c r="B14" s="8">
        <f t="shared" ref="B14:F14" si="4">B12+B13</f>
        <v>170619.1012</v>
      </c>
      <c r="C14" s="8">
        <f t="shared" si="4"/>
        <v>269453.4803</v>
      </c>
      <c r="D14" s="8">
        <f t="shared" si="4"/>
        <v>278040.4574</v>
      </c>
      <c r="E14" s="8">
        <f t="shared" si="4"/>
        <v>323170.1979</v>
      </c>
      <c r="F14" s="8">
        <f t="shared" si="4"/>
        <v>354889.7802</v>
      </c>
    </row>
    <row r="15">
      <c r="B15" s="11"/>
      <c r="C15" s="11"/>
      <c r="D15" s="11"/>
      <c r="E15" s="11"/>
      <c r="F15" s="11"/>
    </row>
    <row r="16">
      <c r="B16" s="11"/>
      <c r="C16" s="11"/>
      <c r="D16" s="11"/>
      <c r="E16" s="11"/>
      <c r="F16" s="11"/>
    </row>
    <row r="17">
      <c r="B17" s="11"/>
      <c r="C17" s="11"/>
      <c r="D17" s="11"/>
      <c r="E17" s="11"/>
      <c r="F17" s="11"/>
    </row>
    <row r="18">
      <c r="B18" s="11"/>
      <c r="C18" s="11"/>
      <c r="D18" s="11"/>
      <c r="E18" s="11"/>
      <c r="F18" s="11"/>
    </row>
    <row r="19">
      <c r="B19" s="11"/>
      <c r="C19" s="11"/>
      <c r="D19" s="11"/>
      <c r="E19" s="11"/>
      <c r="F19" s="11"/>
    </row>
    <row r="20">
      <c r="B20" s="11"/>
      <c r="C20" s="11"/>
      <c r="D20" s="11"/>
      <c r="E20" s="11"/>
      <c r="F20" s="11"/>
    </row>
    <row r="21">
      <c r="B21" s="11"/>
      <c r="C21" s="11"/>
      <c r="D21" s="11"/>
      <c r="E21" s="11"/>
      <c r="F21" s="11"/>
    </row>
    <row r="22">
      <c r="B22" s="11"/>
      <c r="C22" s="11"/>
      <c r="D22" s="11"/>
      <c r="E22" s="11"/>
      <c r="F22" s="11"/>
    </row>
    <row r="23">
      <c r="B23" s="11"/>
      <c r="C23" s="11"/>
      <c r="D23" s="11"/>
      <c r="E23" s="11"/>
      <c r="F23" s="11"/>
    </row>
    <row r="24">
      <c r="B24" s="11"/>
      <c r="C24" s="11"/>
      <c r="D24" s="11"/>
      <c r="E24" s="11"/>
      <c r="F24" s="11"/>
    </row>
    <row r="25">
      <c r="B25" s="11"/>
      <c r="C25" s="11"/>
      <c r="D25" s="11"/>
      <c r="E25" s="11"/>
      <c r="F25" s="11"/>
    </row>
    <row r="26">
      <c r="B26" s="11"/>
      <c r="C26" s="11"/>
      <c r="D26" s="11"/>
      <c r="E26" s="11"/>
      <c r="F26" s="11"/>
    </row>
    <row r="27">
      <c r="B27" s="11"/>
      <c r="C27" s="11"/>
      <c r="D27" s="11"/>
      <c r="E27" s="11"/>
      <c r="F27" s="11"/>
    </row>
    <row r="28">
      <c r="B28" s="11"/>
      <c r="C28" s="11"/>
      <c r="D28" s="11"/>
      <c r="E28" s="11"/>
      <c r="F28" s="11"/>
    </row>
    <row r="29">
      <c r="B29" s="11"/>
      <c r="C29" s="11"/>
      <c r="D29" s="11"/>
      <c r="E29" s="11"/>
      <c r="F29" s="11"/>
    </row>
    <row r="30">
      <c r="B30" s="11"/>
      <c r="C30" s="11"/>
      <c r="D30" s="11"/>
      <c r="E30" s="11"/>
      <c r="F30" s="11"/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mergeCells count="1">
    <mergeCell ref="A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</cols>
  <sheetData>
    <row r="1">
      <c r="A1" s="80" t="s">
        <v>298</v>
      </c>
    </row>
    <row r="3">
      <c r="A3" s="81" t="s">
        <v>299</v>
      </c>
    </row>
    <row r="5">
      <c r="A5" s="7" t="s">
        <v>300</v>
      </c>
      <c r="B5" s="11">
        <f>'Startup Costs'!B28</f>
        <v>80875</v>
      </c>
    </row>
    <row r="6">
      <c r="A6" s="7" t="s">
        <v>301</v>
      </c>
      <c r="B6" s="11">
        <f>'Startup Costs'!B26</f>
        <v>120133.8404</v>
      </c>
    </row>
    <row r="7">
      <c r="A7" s="7" t="s">
        <v>20</v>
      </c>
      <c r="B7" s="11">
        <f>Assumptions!B19</f>
        <v>0</v>
      </c>
    </row>
    <row r="8">
      <c r="A8" s="7" t="s">
        <v>302</v>
      </c>
      <c r="B8" s="11">
        <f>Assumptions!B22</f>
        <v>0.1225</v>
      </c>
    </row>
    <row r="9">
      <c r="A9" s="7" t="s">
        <v>303</v>
      </c>
      <c r="B9" s="11">
        <f>Assumptions!B8</f>
        <v>4500</v>
      </c>
    </row>
    <row r="11">
      <c r="A11" s="81" t="s">
        <v>304</v>
      </c>
    </row>
    <row r="13">
      <c r="A13" s="82" t="s">
        <v>305</v>
      </c>
      <c r="B13" s="82" t="s">
        <v>276</v>
      </c>
      <c r="C13" s="82" t="s">
        <v>197</v>
      </c>
      <c r="D13" s="82" t="s">
        <v>198</v>
      </c>
      <c r="E13" s="82" t="s">
        <v>199</v>
      </c>
      <c r="F13" s="82" t="s">
        <v>200</v>
      </c>
    </row>
    <row r="14">
      <c r="A14" s="3" t="s">
        <v>306</v>
      </c>
      <c r="B14" s="11">
        <f>'Revenue Model'!B26</f>
        <v>422607.1763</v>
      </c>
      <c r="C14" s="11">
        <f>'Revenue Model'!C26</f>
        <v>630571.62</v>
      </c>
      <c r="D14" s="11">
        <f>'Revenue Model'!D26</f>
        <v>633319.8375</v>
      </c>
      <c r="E14" s="11">
        <f>'Revenue Model'!E26</f>
        <v>724631.46</v>
      </c>
      <c r="F14" s="11">
        <f>'Revenue Model'!F26</f>
        <v>797482.6125</v>
      </c>
    </row>
    <row r="15">
      <c r="A15" s="3" t="s">
        <v>307</v>
      </c>
      <c r="B15" s="11" t="str">
        <f>Expenses!B35</f>
        <v/>
      </c>
      <c r="C15" s="11" t="str">
        <f>Expenses!C35</f>
        <v/>
      </c>
      <c r="D15" s="11" t="str">
        <f>Expenses!D35</f>
        <v/>
      </c>
      <c r="E15" s="11" t="str">
        <f>Expenses!E35</f>
        <v/>
      </c>
      <c r="F15" s="11" t="str">
        <f>Expenses!F35</f>
        <v/>
      </c>
    </row>
    <row r="16">
      <c r="A16" s="3" t="s">
        <v>280</v>
      </c>
      <c r="B16" s="11">
        <f>'Profit &amp; Loss'!B8</f>
        <v>62205.65502</v>
      </c>
      <c r="C16" s="11">
        <f>'Profit &amp; Loss'!C8</f>
        <v>163384.113</v>
      </c>
      <c r="D16" s="11">
        <f>'Profit &amp; Loss'!D8</f>
        <v>171971.0901</v>
      </c>
      <c r="E16" s="11">
        <f>'Profit &amp; Loss'!E8</f>
        <v>217100.8306</v>
      </c>
      <c r="F16" s="11">
        <f>'Profit &amp; Loss'!F8</f>
        <v>248820.4128</v>
      </c>
    </row>
    <row r="17">
      <c r="A17" s="3" t="s">
        <v>290</v>
      </c>
      <c r="B17" s="11">
        <f>'Profit &amp; Loss'!B16</f>
        <v>49346.08657</v>
      </c>
      <c r="C17" s="11">
        <f>'Profit &amp; Loss'!C16</f>
        <v>150156.1862</v>
      </c>
      <c r="D17" s="11">
        <f>'Profit &amp; Loss'!D16</f>
        <v>159279.6402</v>
      </c>
      <c r="E17" s="11">
        <f>'Profit &amp; Loss'!E16</f>
        <v>205011.576</v>
      </c>
      <c r="F17" s="11">
        <f>'Profit &amp; Loss'!F16</f>
        <v>237407.1225</v>
      </c>
    </row>
    <row r="18">
      <c r="A18" s="3" t="s">
        <v>308</v>
      </c>
      <c r="B18" s="11">
        <f>'Cash Flow'!B12</f>
        <v>50485.2608</v>
      </c>
      <c r="C18" s="11">
        <f>'Cash Flow'!C12</f>
        <v>149319.6399</v>
      </c>
      <c r="D18" s="11">
        <f>'Cash Flow'!D12</f>
        <v>157906.617</v>
      </c>
      <c r="E18" s="11">
        <f>'Cash Flow'!E12</f>
        <v>203036.3575</v>
      </c>
      <c r="F18" s="11">
        <f>'Cash Flow'!F12</f>
        <v>234755.9398</v>
      </c>
    </row>
    <row r="20">
      <c r="A20" s="81" t="s">
        <v>309</v>
      </c>
    </row>
    <row r="22">
      <c r="A22" s="82" t="s">
        <v>305</v>
      </c>
      <c r="B22" s="82" t="s">
        <v>276</v>
      </c>
      <c r="C22" s="82" t="s">
        <v>197</v>
      </c>
      <c r="D22" s="82" t="s">
        <v>198</v>
      </c>
      <c r="E22" s="82" t="s">
        <v>199</v>
      </c>
      <c r="F22" s="82" t="s">
        <v>200</v>
      </c>
    </row>
    <row r="23">
      <c r="A23" s="3" t="s">
        <v>310</v>
      </c>
      <c r="B23" s="73">
        <f>'Profit &amp; Loss'!B19</f>
        <v>0.1471949804</v>
      </c>
      <c r="C23" s="73">
        <f>'Profit &amp; Loss'!C19</f>
        <v>0.2591047675</v>
      </c>
      <c r="D23" s="73">
        <f>'Profit &amp; Loss'!D19</f>
        <v>0.2715390864</v>
      </c>
      <c r="E23" s="73">
        <f>'Profit &amp; Loss'!E19</f>
        <v>0.2996017184</v>
      </c>
      <c r="F23" s="73">
        <f>'Profit &amp; Loss'!F19</f>
        <v>0.3120073202</v>
      </c>
    </row>
    <row r="24">
      <c r="A24" s="3" t="s">
        <v>311</v>
      </c>
      <c r="B24" s="73">
        <f>'Profit &amp; Loss'!B20</f>
        <v>0.116765851</v>
      </c>
      <c r="C24" s="73">
        <f>'Profit &amp; Loss'!C20</f>
        <v>0.238127092</v>
      </c>
      <c r="D24" s="73">
        <f>'Profit &amp; Loss'!D20</f>
        <v>0.2514995279</v>
      </c>
      <c r="E24" s="73">
        <f>'Profit &amp; Loss'!E20</f>
        <v>0.2829184038</v>
      </c>
      <c r="F24" s="73">
        <f>'Profit &amp; Loss'!F20</f>
        <v>0.2976956723</v>
      </c>
    </row>
    <row r="26">
      <c r="A26" s="7" t="s">
        <v>312</v>
      </c>
    </row>
    <row r="27">
      <c r="A27" s="3" t="s">
        <v>313</v>
      </c>
    </row>
    <row r="28">
      <c r="A28" s="3" t="s">
        <v>314</v>
      </c>
    </row>
    <row r="29">
      <c r="A29" s="3" t="s">
        <v>315</v>
      </c>
    </row>
    <row r="30">
      <c r="A30" s="3" t="s">
        <v>316</v>
      </c>
    </row>
    <row r="31">
      <c r="A31" s="3" t="s">
        <v>317</v>
      </c>
    </row>
  </sheetData>
  <mergeCells count="4">
    <mergeCell ref="A1:F1"/>
    <mergeCell ref="A3:F3"/>
    <mergeCell ref="A11:F11"/>
    <mergeCell ref="A20:F20"/>
  </mergeCells>
  <drawing r:id="rId1"/>
</worksheet>
</file>